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2EB892DB-2071-43CA-98C1-83D33AEE939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ummary" sheetId="1" r:id="rId1"/>
    <sheet name="Rating Criteria" sheetId="2" r:id="rId2"/>
    <sheet name="FMEA Candida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" i="3" l="1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B20" i="1"/>
  <c r="B19" i="1"/>
  <c r="B18" i="1"/>
  <c r="B17" i="1"/>
  <c r="B12" i="1"/>
  <c r="B11" i="1"/>
  <c r="E10" i="1"/>
  <c r="B10" i="1"/>
  <c r="E9" i="1"/>
  <c r="B9" i="1"/>
  <c r="E8" i="1"/>
  <c r="B8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1" authorId="0" shapeId="0" xr:uid="{00000000-0006-0000-0200-000001000000}">
      <text>
        <r>
          <rPr>
            <sz val="11"/>
            <color theme="1"/>
            <rFont val="Calibri"/>
          </rPr>
          <t>Human assessor field. Select Severity using the approved project criteria.</t>
        </r>
      </text>
    </comment>
    <comment ref="O1" authorId="0" shapeId="0" xr:uid="{00000000-0006-0000-0200-000002000000}">
      <text>
        <r>
          <rPr>
            <sz val="11"/>
            <color theme="1"/>
            <rFont val="Calibri"/>
          </rPr>
          <t>Human assessor field. Select Occurrence using the approved project criteria.</t>
        </r>
      </text>
    </comment>
    <comment ref="P1" authorId="0" shapeId="0" xr:uid="{00000000-0006-0000-0200-000003000000}">
      <text>
        <r>
          <rPr>
            <sz val="11"/>
            <color theme="1"/>
            <rFont val="Calibri"/>
          </rPr>
          <t>Human assessor field. Higher Detectability means harder to detect.</t>
        </r>
      </text>
    </comment>
    <comment ref="Q1" authorId="0" shapeId="0" xr:uid="{00000000-0006-0000-0200-000004000000}">
      <text>
        <r>
          <rPr>
            <sz val="11"/>
            <color theme="1"/>
            <rFont val="Calibri"/>
          </rPr>
          <t>Automatic formula: Severity x Occurrence x Detectability. Blank until all three ratings are entered.</t>
        </r>
      </text>
    </comment>
    <comment ref="R1" authorId="0" shapeId="0" xr:uid="{00000000-0006-0000-0200-000005000000}">
      <text>
        <r>
          <rPr>
            <sz val="11"/>
            <color theme="1"/>
            <rFont val="Calibri"/>
          </rPr>
          <t>Human assessor field. AI output must not determine this disposition.</t>
        </r>
      </text>
    </comment>
    <comment ref="S1" authorId="0" shapeId="0" xr:uid="{00000000-0006-0000-0200-000006000000}">
      <text>
        <r>
          <rPr>
            <sz val="11"/>
            <color theme="1"/>
            <rFont val="Calibri"/>
          </rPr>
          <t>Enter the score category defined by the human review process.</t>
        </r>
      </text>
    </comment>
  </commentList>
</comments>
</file>

<file path=xl/sharedStrings.xml><?xml version="1.0" encoding="utf-8"?>
<sst xmlns="http://schemas.openxmlformats.org/spreadsheetml/2006/main" count="579" uniqueCount="386">
  <si>
    <t>Preliminary AI-FMEA Candidate Report</t>
  </si>
  <si>
    <t>Trial</t>
  </si>
  <si>
    <t>TRIAL-01</t>
  </si>
  <si>
    <t>Total candidates</t>
  </si>
  <si>
    <t>Human review required. This workbook contains AI-generated candidates for a fictional system. It does not approve an FMEA, verify safety, demonstrate compliance, assign SIL/PL, or provide acceptance evidence.</t>
  </si>
  <si>
    <t>AI classification</t>
  </si>
  <si>
    <t>Confidence</t>
  </si>
  <si>
    <t>Classification</t>
  </si>
  <si>
    <t>Count</t>
  </si>
  <si>
    <t>Safe</t>
  </si>
  <si>
    <t>High</t>
  </si>
  <si>
    <t>Degraded</t>
  </si>
  <si>
    <t>Medium</t>
  </si>
  <si>
    <t>Dangerous</t>
  </si>
  <si>
    <t>Low</t>
  </si>
  <si>
    <t>Dangerous latent</t>
  </si>
  <si>
    <t>Uncertain</t>
  </si>
  <si>
    <t>Human review status</t>
  </si>
  <si>
    <t>Workflow</t>
  </si>
  <si>
    <t>Disposition</t>
  </si>
  <si>
    <t>1. Review each causal chain.
2. Apply the approved S/O/D criteria.
3. Enter S, O and D; RPN calculates automatically.
4. Record disposition, corrections and notes.
5. Do not use AI output as acceptance evidence.</t>
  </si>
  <si>
    <t>Not reviewed</t>
  </si>
  <si>
    <t>Accept for comparison</t>
  </si>
  <si>
    <t>Correct</t>
  </si>
  <si>
    <t>Reject</t>
  </si>
  <si>
    <t>Illustrative Human Rating Criteria</t>
  </si>
  <si>
    <t>Draft portfolio scale only. Replace these qualitative descriptions with the organization-approved FMEA method before real use. AI must not assign the scores. No RPN acceptance threshold is defined.</t>
  </si>
  <si>
    <t>Score</t>
  </si>
  <si>
    <t>Severity (S)</t>
  </si>
  <si>
    <t>Occurrence (O)</t>
  </si>
  <si>
    <t>Detectability (D)</t>
  </si>
  <si>
    <t>No credible safety-relevant consequence within the boundary.</t>
  </si>
  <si>
    <t>Remote or exceptional within the defined use.</t>
  </si>
  <si>
    <t>Almost certain to detect before the demand or effect.</t>
  </si>
  <si>
    <t>Negligible effect; safety function remains unaffected.</t>
  </si>
  <si>
    <t>Very low occurrence category.</t>
  </si>
  <si>
    <t>Very high likelihood of detection before the demand or effect.</t>
  </si>
  <si>
    <t>Minor functional degradation with no identified hazardous consequence.</t>
  </si>
  <si>
    <t>Low occurrence category.</t>
  </si>
  <si>
    <t>High likelihood of detection before the demand or effect.</t>
  </si>
  <si>
    <t>Noticeable degradation; the defined safe state is still expected.</t>
  </si>
  <si>
    <t>Moderately low occurrence category.</t>
  </si>
  <si>
    <t>Moderately high likelihood of detection.</t>
  </si>
  <si>
    <t>Significant degradation with reduced safety margin.</t>
  </si>
  <si>
    <t>Occasional occurrence category.</t>
  </si>
  <si>
    <t>Moderate likelihood of detection.</t>
  </si>
  <si>
    <t>Serious degradation; safety may depend on a remaining independent path.</t>
  </si>
  <si>
    <t>Moderately high occurrence category.</t>
  </si>
  <si>
    <t>Moderately low likelihood of detection.</t>
  </si>
  <si>
    <t>Major loss of the safety function with possible hazardous exposure.</t>
  </si>
  <si>
    <t>High occurrence category.</t>
  </si>
  <si>
    <t>Low likelihood of detection.</t>
  </si>
  <si>
    <t>Severe loss of control with a credible hazardous consequence.</t>
  </si>
  <si>
    <t>Very high occurrence category.</t>
  </si>
  <si>
    <t>Very low likelihood of detection.</t>
  </si>
  <si>
    <t>Very severe credible consequence within the defined boundary.</t>
  </si>
  <si>
    <t>Frequent occurrence category.</t>
  </si>
  <si>
    <t>Remote likelihood of detection.</t>
  </si>
  <si>
    <t>Most severe credible consequence in the approved assessment method.</t>
  </si>
  <si>
    <t>Most frequent or likely category in the approved assessment method.</t>
  </si>
  <si>
    <t>No known effective detection before the demand or effect.</t>
  </si>
  <si>
    <t>RPN = Severity x Occurrence x Detectability. A higher detectability score means the failure is harder to detect. RPN is a prioritization aid only; it is not a safety acceptance decision.</t>
  </si>
  <si>
    <t>Candidate ID</t>
  </si>
  <si>
    <t>Element ID</t>
  </si>
  <si>
    <t>Failure mode</t>
  </si>
  <si>
    <t>Local effect</t>
  </si>
  <si>
    <t>System effect</t>
  </si>
  <si>
    <t>Potential hazardous consequence</t>
  </si>
  <si>
    <t>Detection mechanism</t>
  </si>
  <si>
    <t>Recommended action</t>
  </si>
  <si>
    <t>Evidence references</t>
  </si>
  <si>
    <t>Assumptions</t>
  </si>
  <si>
    <t>Missing information</t>
  </si>
  <si>
    <t>RPN</t>
  </si>
  <si>
    <t>Human disposition</t>
  </si>
  <si>
    <t>Score category</t>
  </si>
  <si>
    <t>Reviewer corrections</t>
  </si>
  <si>
    <t>Reviewer notes</t>
  </si>
  <si>
    <t>AI-001</t>
  </si>
  <si>
    <t>ESTOP-01</t>
  </si>
  <si>
    <t>One positively-opening NC contact fails to open when ESTOP-01 is pressed, leaving either CH-A or CH-B in the healthy/on state.</t>
  </si>
  <si>
    <t>One demand channel changes to demand/off and the other remains healthy/on.</t>
  </si>
  <si>
    <t>CTRL-01 should recognize the demand from the channel that opened, de-energize Q1/Q2 and achieve the safe state; the channel discrepancy remains as a degraded fault and reset should be inhibited.</t>
  </si>
  <si>
    <t>No immediate hazardous consequence is expected for this single fault if the remaining channel and both de-energization paths operate; the loss of one input channel reduces fault tolerance for a later fault.</t>
  </si>
  <si>
    <t>CH-A/CH-B discrepancy monitoring on the demand and the blocked reset required by SR-003 and SR-004.</t>
  </si>
  <si>
    <t>Inject the fault separately on each contact, confirm Q1/Q2 de-energization, record the discrepancy time and verify that reset remains blocked until the fault is cleared.</t>
  </si>
  <si>
    <t>ESTOP-01; CH-A; CH-B; CTRL-01; SF-01; A-003; A-004; SR-001; SR-003; SR-004</t>
  </si>
  <si>
    <t>The unaffected E-stop contact and its input path operate as specified.</t>
  </si>
  <si>
    <t>ESTOP-01 contact failure data and the implemented CTRL-01 discrepancy logic are not supplied.</t>
  </si>
  <si>
    <t>AI-002</t>
  </si>
  <si>
    <t>A common mechanical failure of ESTOP-01 prevents both positively-opening NC contacts from opening when the pushbutton is pressed.</t>
  </si>
  <si>
    <t>CH-A and CH-B both remain healthy/on despite the E-stop demand.</t>
  </si>
  <si>
    <t>CTRL-01 receives no demanded-state input, so Q1/Q2 and K1/K2 can remain energized/closed and SF-01 is lost.</t>
  </si>
  <si>
    <t>Power enabling hazardous robot motion can remain present while a person relies on ESTOP-01 to stop the motion.</t>
  </si>
  <si>
    <t>No in-system detection mechanism for simultaneous stuck-healthy channels is identified in the supplied evidence; a two-channel demand test could reveal the failure.</t>
  </si>
  <si>
    <t>Include a controlled common-mechanism demand test and obtain the pushbutton construction and validation evidence needed to assess this failure.</t>
  </si>
  <si>
    <t>ESTOP-01; CH-A; CH-B; CTRL-01; SF-01; A-003; SR-002; SR-012</t>
  </si>
  <si>
    <t>A physically credible common mechanism can prevent both assumed positively-opening contacts from changing state.</t>
  </si>
  <si>
    <t>ESTOP-01 mechanical design, installation details and common-cause evidence are not supplied.</t>
  </si>
  <si>
    <t>AI-003</t>
  </si>
  <si>
    <t>One NC contact opens without an E-stop demand.</t>
  </si>
  <si>
    <t>Either CH-A or CH-B changes to demand/off while the other channel remains healthy/on.</t>
  </si>
  <si>
    <t>CTRL-01 should treat the single-channel change as a demand, de-energize Q1/Q2, open K1/K2 and inhibit reset because of the discrepancy.</t>
  </si>
  <si>
    <t>The defined safe state is reached; the supplied boundary supports an unintended stop and loss of availability, not continued hazardous motion.</t>
  </si>
  <si>
    <t>Demand-state recognition, CH-A/CH-B discrepancy monitoring and reset inhibition.</t>
  </si>
  <si>
    <t>Perform a no-demand single-contact opening test and verify safe-state entry, diagnostic-state labeling and blocked reset.</t>
  </si>
  <si>
    <t>ESTOP-01; CH-A; CH-B; CTRL-01; SF-01; A-003; A-004; SR-003; SR-011</t>
  </si>
  <si>
    <t>None stated</t>
  </si>
  <si>
    <t>Consequences of an unintended robot stop outside the defined boundary are unknown.</t>
  </si>
  <si>
    <t>AI-004</t>
  </si>
  <si>
    <t>CH-A</t>
  </si>
  <si>
    <t>An open circuit occurs in one E-stop input-channel wire.</t>
  </si>
  <si>
    <t>The affected NC input changes from healthy/on to demand/off independently of ESTOP-01 actuation.</t>
  </si>
  <si>
    <t>CTRL-01 should de-energize Q1/Q2, achieve the safe state, log a discrepancy and inhibit reset until the wiring fault is cleared.</t>
  </si>
  <si>
    <t>The defined safe state is reached; the immediate effect is an unintended stop rather than loss of SF-01.</t>
  </si>
  <si>
    <t>Single-channel demand recognition plus the open-circuit/discrepancy monitoring required by SR-003 and SR-004.</t>
  </si>
  <si>
    <t>Open each field wire individually and verify safe-state entry, diagnostic indication and reset inhibition.</t>
  </si>
  <si>
    <t>CH-A; CH-B; CTRL-01; SF-01; A-004; SR-003; SR-004</t>
  </si>
  <si>
    <t>The 24 V NC input changes to demand/off when its field wire is opened.</t>
  </si>
  <si>
    <t>Input circuit topology and actual open-circuit diagnostic implementation are not supplied.</t>
  </si>
  <si>
    <t>AI-005</t>
  </si>
  <si>
    <t>One E-stop input-channel wire is shorted to 24 V and remains healthy/on when its ESTOP-01 contact opens.</t>
  </si>
  <si>
    <t>The affected channel is stuck healthy while the other channel changes to demand/off.</t>
  </si>
  <si>
    <t>The unaffected channel should still cause Q1/Q2 to de-energize; the stuck-healthy channel creates a discrepancy that should be detected no later than the demand and should block reset.</t>
  </si>
  <si>
    <t>No immediate hazardous consequence is expected for this single fault if the unaffected input channel and output paths operate; input redundancy is degraded.</t>
  </si>
  <si>
    <t>CH-A/CH-B discrepancy monitoring and the fault-injection behavior required by SR-003 and SR-004.</t>
  </si>
  <si>
    <t>Apply a controlled short-to-24 V separately to each channel, demand the E-stop and verify safe-state entry, fault detection and blocked reset.</t>
  </si>
  <si>
    <t>The other input channel remains electrically independent and reaches demand/off.</t>
  </si>
  <si>
    <t>Input test-pulse arrangement, thresholds and diagnostic timing are not supplied.</t>
  </si>
  <si>
    <t>AI-006</t>
  </si>
  <si>
    <t>A common field-wiring fault holds both CH-A and CH-B at 24 V during an E-stop demand.</t>
  </si>
  <si>
    <t>Both controller inputs remain healthy/on although both ESTOP-01 contacts have opened.</t>
  </si>
  <si>
    <t>CTRL-01 receives no demand, Q1/Q2 remain energized and K1/K2 remain closed, causing complete loss of SF-01.</t>
  </si>
  <si>
    <t>Power enabling hazardous robot motion can remain present during the E-stop demand.</t>
  </si>
  <si>
    <t>No effective detection is established by the supplied evidence when both inputs remain mutually consistent in the healthy/on state; a common-fault injection test could expose it.</t>
  </si>
  <si>
    <t>Review the actual input schematic and routing for credible common 24 V connections, then include the applicable common-fault injection in the fault matrix.</t>
  </si>
  <si>
    <t>CH-A; CH-B; CTRL-01; SF-01; A-003; A-004; SR-002; SR-004; SR-012</t>
  </si>
  <si>
    <t>A common 24 V source can reach both input lines downstream of the E-stop contacts.</t>
  </si>
  <si>
    <t>The field-wiring schematic, segregation and input diagnostic circuitry are not supplied.</t>
  </si>
  <si>
    <t>AI-007</t>
  </si>
  <si>
    <t>A cross-fault electrically couples CH-A and CH-B without independently forcing either channel to demand/off.</t>
  </si>
  <si>
    <t>The two channels can change together and a single contact or wiring fault can be masked as a mutually consistent state.</t>
  </si>
  <si>
    <t>A normal two-contact E-stop demand may still de-energize Q1/Q2, but channel independence and discrepancy detection are degraded; whether the cross-fault can prevent a demand cannot be determined from the signal-level architecture.</t>
  </si>
  <si>
    <t>The fault can remain latent and combine with another input fault to prevent recognition of an E-stop demand; the direct consequence of the cross-fault alone is architecture-dependent.</t>
  </si>
  <si>
    <t>CH-B has a stated cross-fault diagnostic expectation, but no implemented mechanism is supplied.</t>
  </si>
  <si>
    <t>Obtain the input schematic and controller configuration, then test each credible CH-A-to-CH-B coupling against the expected diagnostic response.</t>
  </si>
  <si>
    <t>CH-A; CH-B; CTRL-01; A-004; SR-002; SR-004</t>
  </si>
  <si>
    <t>The coupling can reduce independence without itself creating a clear demand/off state.</t>
  </si>
  <si>
    <t>Input test pulses, source impedances, wiring topology and cross-fault detection coverage are not supplied.</t>
  </si>
  <si>
    <t>AI-008</t>
  </si>
  <si>
    <t>CTRL-01</t>
  </si>
  <si>
    <t>A CTRL-01 input-processing failure fails to recognize demanded-state changes on both CH-A and CH-B.</t>
  </si>
  <si>
    <t>The physical inputs reach demand/off but the controller logic retains a healthy input state.</t>
  </si>
  <si>
    <t>Q1/Q2 remain energized, K1/K2 remain closed and SF-01 is lost.</t>
  </si>
  <si>
    <t>Power enabling hazardous robot motion can remain present after ESTOP-01 is pressed.</t>
  </si>
  <si>
    <t>No independent in-system detection of this common controller failure is identified; a two-channel fault-injection or demand test could reveal it.</t>
  </si>
  <si>
    <t>Obtain CTRL-01 safety behavior and configuration evidence and execute a demand test that traces physical inputs, interpreted states, outputs and contactor states.</t>
  </si>
  <si>
    <t>CTRL-01; CH-A; CH-B; Q1; Q2; SF-01; A-004; A-005; SR-001; SR-002; SR-012</t>
  </si>
  <si>
    <t>The input-processing failure can affect both monitored channels as a common controller failure.</t>
  </si>
  <si>
    <t>CTRL-01 internal hardware, firmware, diagnostic coverage and configuration are explicitly outside the available black-box detail.</t>
  </si>
  <si>
    <t>AI-009</t>
  </si>
  <si>
    <t>CTRL-01 is configured to require both channels to indicate demand instead of responding to either channel.</t>
  </si>
  <si>
    <t>A single-channel demand/off state is treated only as a discrepancy and not as an E-stop demand.</t>
  </si>
  <si>
    <t>With one channel stuck healthy, Q1/Q2 can remain energized instead of entering the safe state, contrary to SF-01 and SR-001.</t>
  </si>
  <si>
    <t>A coincident single-channel failure and E-stop demand can leave power enabling hazardous robot motion present.</t>
  </si>
  <si>
    <t>Design/configuration review and separate CH-A-only and CH-B-only demand tests.</t>
  </si>
  <si>
    <t>Verify the controller configuration against the either-channel behavior and retain separate timestamped traces for CH-A-only and CH-B-only demands.</t>
  </si>
  <si>
    <t>CTRL-01; CH-A; CH-B; SF-01; A-004; SR-001; SR-002; SR-003</t>
  </si>
  <si>
    <t>CTRL-01 behavior is configurable and can be set to an incorrect channel-evaluation rule.</t>
  </si>
  <si>
    <t>The actual CTRL-01 application configuration and configuration-control evidence are not supplied.</t>
  </si>
  <si>
    <t>AI-010</t>
  </si>
  <si>
    <t>A common CTRL-01 control failure leaves both Q1 and Q2 commanded energized after a correctly recognized E-stop demand.</t>
  </si>
  <si>
    <t>The controller recognizes CH-A/CH-B demand but does not issue the required de-energizing commands.</t>
  </si>
  <si>
    <t>K1 and K2 remain energized/closed and SF-01 is lost.</t>
  </si>
  <si>
    <t>A demand test comparing input-state timestamps with Q1/Q2 and K1/K2 traces; no independent runtime detector for the common output-command failure is specified.</t>
  </si>
  <si>
    <t>Fault-inject the controller command path at the black-box boundary and verify that common failures affecting both outputs are represented in the fault matrix.</t>
  </si>
  <si>
    <t>CTRL-01; Q1; Q2; K1; K2; SF-01; A-005; A-006; SR-001; SR-005; SR-012</t>
  </si>
  <si>
    <t>A common controller failure can affect both output commands.</t>
  </si>
  <si>
    <t>CTRL-01 internal architecture and any independent output shutdown mechanism are not supplied.</t>
  </si>
  <si>
    <t>AI-011</t>
  </si>
  <si>
    <t>CTRL-01 de-energizes Q1/Q2 later than the illustrative 100 ms target after an E-stop demand.</t>
  </si>
  <si>
    <t>The output commands remain energized beyond the stated target interval before changing to de-energized.</t>
  </si>
  <si>
    <t>SF-01 is achieved late; K1/K2 opening and drive-power removal are delayed by at least the controller-output delay plus unprovided contactor dynamics.</t>
  </si>
  <si>
    <t>Hazardous robot motion can continue longer than intended, but the safety significance cannot be decided because the 100 ms output target and 500 ms motion-cessation target are illustrative rather than validated machine limits.</t>
  </si>
  <si>
    <t>Timestamped CH-A and CH-B demand-to-Q1/Q2 traces required by SR-001.</t>
  </si>
  <si>
    <t>Measure demand-to-output and output-to-contactor timing separately and replace the illustrative target with a validated machine-specific limit before acceptance use.</t>
  </si>
  <si>
    <t>CTRL-01; Q1; Q2; K1; K2; SF-01; SR-001; A-010</t>
  </si>
  <si>
    <t>A-010 is the basis for the illustrative 100 ms target as stated in the SR-001 note.</t>
  </si>
  <si>
    <t>Validated stopping-time limit, contactor operating times, evidence against the illustrative 500 ms motion-cessation target and timing test results are not supplied.</t>
  </si>
  <si>
    <t>AI-012</t>
  </si>
  <si>
    <t>Channel-discrepancy monitoring is disabled or configured with a limit exceeding the illustrative 100 ms value.</t>
  </si>
  <si>
    <t>An asynchronous or stuck-healthy input channel is not diagnosed within the stated interval.</t>
  </si>
  <si>
    <t>A demand from the other channel should still reach the safe state, but the degraded input condition can remain latent and reset may not be inhibited as required.</t>
  </si>
  <si>
    <t>No immediate hazardous consequence is expected while the remaining input channel works; an undetected loss of input independence can combine with a later fault to prevent E-stop recognition.</t>
  </si>
  <si>
    <t>Negative discrepancy simulation and verification of the fault log and blocked-reset response required by SR-003.</t>
  </si>
  <si>
    <t>Review and lock the discrepancy configuration, then test values just below and above the stated limit and retain the results.</t>
  </si>
  <si>
    <t>CTRL-01; CH-A; CH-B; A-004; SR-003; SR-004</t>
  </si>
  <si>
    <t>The discrepancy behavior and time limit are configurable in CTRL-01.</t>
  </si>
  <si>
    <t>Actual discrepancy configuration, its relationship to A-010 and validation of the 100 ms value are not supplied.</t>
  </si>
  <si>
    <t>AI-013</t>
  </si>
  <si>
    <t>OUT-Q1</t>
  </si>
  <si>
    <t>One safety output or its field wire fails open or remains de-energized.</t>
  </si>
  <si>
    <t>The corresponding K1 or K2 coil de-energizes and its contactor opens while the other path can remain commanded closed.</t>
  </si>
  <si>
    <t>Because K1 and K2 are assumed to be series contactors and one opening contactor removes drive power, the system enters the safe state but loses availability and one de-energization path.</t>
  </si>
  <si>
    <t>No continued hazardous motion is expected from this single fault under the series-path assumption; unintended power removal can occur.</t>
  </si>
  <si>
    <t>The supplied evidence specifies output diagnostics plus EDM, but detection of a contactor that fails to close during normal operation is not defined.</t>
  </si>
  <si>
    <t>Open-circuit each output and field wire separately and verify contactor, drive-power, EDM and reset behavior.</t>
  </si>
  <si>
    <t>OUT-Q1; OUT-Q2; Q1; Q2; K1; K2; EDM-01; A-005; A-006; A-007; SR-005</t>
  </si>
  <si>
    <t>A-006 is the series-path assumption referenced by SR-005.; One correctly opening contactor is sufficient to remove drive power.</t>
  </si>
  <si>
    <t>Output circuit schematic and monitoring of contactor closure are not supplied.</t>
  </si>
  <si>
    <t>AI-014</t>
  </si>
  <si>
    <t>One safety output or its field wire is stuck energized, including a single short-to-24 V fault.</t>
  </si>
  <si>
    <t>The corresponding K1 or K2 coil remains energized and that contactor remains closed on demand.</t>
  </si>
  <si>
    <t>The other independently controlled contactor should open and remove drive power; the safe state is achieved in a degraded condition, and EDM or output diagnostics should inhibit reset.</t>
  </si>
  <si>
    <t>No immediate hazardous consequence is expected for this single fault under the series-path assumption; a later failure of the remaining opening path could cause loss of SF-01.</t>
  </si>
  <si>
    <t>Output diagnostics and EDM mismatch, verified by the short-to-24 V and stuck-output tests in SR-010.</t>
  </si>
  <si>
    <t>Inject the energized fault separately on Q1 and Q2, confirm that the other contactor removes power and verify fault detection and reset inhibition.</t>
  </si>
  <si>
    <t>OUT-Q1; OUT-Q2; Q1; Q2; K1; K2; EDM-01; A-005; A-006; A-007; SR-005; SR-010</t>
  </si>
  <si>
    <t>A-006 is the series-path assumption referenced by SR-005.; The unaffected output and contactor operate correctly.</t>
  </si>
  <si>
    <t>Actual output diagnostic coverage and short-to-24 V behavior are not supplied.</t>
  </si>
  <si>
    <t>AI-015</t>
  </si>
  <si>
    <t>A common field-wiring fault or backfeed keeps both K1 and K2 coils energized after Q1/Q2 are commanded de-energized.</t>
  </si>
  <si>
    <t>Both contactor coils remain powered independently of the commanded E-stop output state.</t>
  </si>
  <si>
    <t>K1 and K2 remain closed, drive power is not removed and SF-01 is lost.</t>
  </si>
  <si>
    <t>Hazardous robot motion can continue during the E-stop demand.</t>
  </si>
  <si>
    <t>EDM should report that the contactors have not opened, but detection occurs after failure of the demanded power-removal action and does not itself remove the backfeed.</t>
  </si>
  <si>
    <t>Review the field-wiring schematic for common energizing sources and inject the credible common backfeed while tracing Q1/Q2, coil, main-contact and EDM states.</t>
  </si>
  <si>
    <t>OUT-Q1; OUT-Q2; Q1; Q2; K1; K2; EDM-01; SF-01; A-005; A-006; A-007; SR-005; SR-010; SR-012</t>
  </si>
  <si>
    <t>A common electrical source or coupling can energize both coils downstream of the independent outputs.</t>
  </si>
  <si>
    <t>The output and field-wiring schematic, protective elements and routing are not supplied.</t>
  </si>
  <si>
    <t>AI-016</t>
  </si>
  <si>
    <t>Q1 and Q2 are configured or allocated to the same physical output path instead of independent paths.</t>
  </si>
  <si>
    <t>Both logical commands depend on one physical output or shared control point.</t>
  </si>
  <si>
    <t>A single stuck-energized output fault can keep both K1 and K2 energized, defeating the intended independent-path behavior.</t>
  </si>
  <si>
    <t>The configuration defect can remain latent until an output fault coincides with an E-stop demand, at which point hazardous motion may continue.</t>
  </si>
  <si>
    <t>I/O allocation and configuration review under SR-002, independent-path tracing under SR-005 and separate output fault injection.</t>
  </si>
  <si>
    <t>Verify the physical I/O allocation and configuration records and demonstrate independent control of K1 and K2.</t>
  </si>
  <si>
    <t>CTRL-01; OUT-Q1; OUT-Q2; Q1; Q2; K1; K2; A-005; A-006; SR-002; SR-005</t>
  </si>
  <si>
    <t>CTRL-01 output allocation is configurable.</t>
  </si>
  <si>
    <t>I/O allocation, controller configuration and schematic evidence are not supplied.</t>
  </si>
  <si>
    <t>AI-017</t>
  </si>
  <si>
    <t>K1</t>
  </si>
  <si>
    <t>One contactor main-contact set is welded or otherwise fails to open when its coil is de-energized.</t>
  </si>
  <si>
    <t>The affected power path remains closed while the other contactor can open.</t>
  </si>
  <si>
    <t>One correctly opening series contactor removes drive power, so SF-01 is achieved in a degraded condition; EDM should detect the failed-open contactor and inhibit reset.</t>
  </si>
  <si>
    <t>No immediate hazardous consequence is expected for this single fault under the series-path assumption; allowing reset with the fault present would leave only one effective interruption path.</t>
  </si>
  <si>
    <t>EDM-01 verification of both contactors open and the K1-welded and K2-welded tests required by SR-006.</t>
  </si>
  <si>
    <t>Inject K1-welded and K2-welded cases separately, verify drive-power removal by the other contactor and confirm that EDM blocks reset.</t>
  </si>
  <si>
    <t>K1; K2; EDM-01; CTRL-01; SF-01; A-006; A-007; SR-005; SR-006</t>
  </si>
  <si>
    <t>A-006 is the series-path assumption referenced by SR-005.; The unaffected contactor opens correctly.</t>
  </si>
  <si>
    <t>Contactor component data and the detailed force-guided feedback circuit are not supplied.</t>
  </si>
  <si>
    <t>AI-018</t>
  </si>
  <si>
    <t>One contactor coil is open circuit or the contactor mechanically fails to close when energization is requested.</t>
  </si>
  <si>
    <t>The affected contactor remains open.</t>
  </si>
  <si>
    <t>The series drive-power path remains interrupted, preventing or stopping power-enabled robot motion; system availability is lost.</t>
  </si>
  <si>
    <t>The defined safe power state is maintained; no continued hazardous motion is identified within the supplied boundary.</t>
  </si>
  <si>
    <t>EDM may show the contactor open, but the supplied EDM behavior verifies opening before reset and does not specify detection of failure to close.</t>
  </si>
  <si>
    <t>Inject coil-open and fail-to-close conditions and record drive-power, auxiliary-feedback and controller-state behavior.</t>
  </si>
  <si>
    <t>K1; K2; EDM-01; A-006; A-007; SR-005; SR-006</t>
  </si>
  <si>
    <t>An open contactor interrupts the assumed series power path.</t>
  </si>
  <si>
    <t>Closure monitoring, normal energization sequence and contactor component behavior are not supplied.</t>
  </si>
  <si>
    <t>AI-019</t>
  </si>
  <si>
    <t>A common-cause failure prevents both K1 and K2 main-contact sets from opening on demand.</t>
  </si>
  <si>
    <t>Both series power contacts remain closed although both coils are commanded de-energized.</t>
  </si>
  <si>
    <t>Neither interruption path opens, drive power remains present and SF-01 is lost.</t>
  </si>
  <si>
    <t>Hazardous robot motion can continue after ESTOP-01 is pressed.</t>
  </si>
  <si>
    <t>EDM should indicate that opening was not proven, but it cannot remove drive power; a common-cause fault-injection or equivalent controlled simulation is required to expose the effect.</t>
  </si>
  <si>
    <t>Identify credible shared causes from the real contactor installation and include applicable dual-fail-to-open cases in the human-reviewed fault matrix.</t>
  </si>
  <si>
    <t>K1; K2; EDM-01; SF-01; A-006; A-007; SR-005; SR-006; SR-012</t>
  </si>
  <si>
    <t>A shared cause can prevent both nominally independent contactors from opening.</t>
  </si>
  <si>
    <t>Contactor types, installation environment, separation and common-cause analysis are not supplied.</t>
  </si>
  <si>
    <t>AI-020</t>
  </si>
  <si>
    <t>The drive-power circuit is miswired so K1 and K2 are not effective independent series interruption paths, or one contactor is bypassed.</t>
  </si>
  <si>
    <t>Opening one contactor does not necessarily interrupt the power path as assumed.</t>
  </si>
  <si>
    <t>A single stuck-closed contactor or bypassed path can prevent drive-power removal on an E-stop demand, invalidating the stated single-fault behavior.</t>
  </si>
  <si>
    <t>Hazardous robot motion can continue despite one contactor opening on demand.</t>
  </si>
  <si>
    <t>Schematic review, independent-path trace and power-state testing required by SR-005; EDM alone monitors auxiliary feedback and does not prove the actual power topology in the supplied model.</t>
  </si>
  <si>
    <t>Verify the as-designed and as-tested power path against A-006 and demonstrate that opening either K1 or K2 independently removes drive power.</t>
  </si>
  <si>
    <t>K1; K2; A-006; SR-005; SR-012</t>
  </si>
  <si>
    <t>A wiring or configuration error can violate the assumed series topology.</t>
  </si>
  <si>
    <t>An installation wiring diagram and physical validation results are explicitly not supplied.</t>
  </si>
  <si>
    <t>AI-021</t>
  </si>
  <si>
    <t>EDM-01</t>
  </si>
  <si>
    <t>The EDM feedback loop is open circuit or stuck in the not-ready state.</t>
  </si>
  <si>
    <t>CTRL-01 cannot obtain healthy proof that both K1 and K2 are open.</t>
  </si>
  <si>
    <t>Reset should remain inhibited even when the contactors have opened; the safe state is maintained but restart availability is lost.</t>
  </si>
  <si>
    <t>No automatic or permitted restart is expected from this fault if SR-006 and SR-008 are implemented; the consequence is failure to reset.</t>
  </si>
  <si>
    <t>EDM mismatch and the resulting reset-not-ready state.</t>
  </si>
  <si>
    <t>Open the EDM loop and verify distinct diagnostic labeling and persistent reset inhibition.</t>
  </si>
  <si>
    <t>EDM-01; CTRL-01; K1; K2; A-007; SR-006; SR-008; SR-011</t>
  </si>
  <si>
    <t>An open EDM loop is interpreted as unhealthy/not ready by CTRL-01.</t>
  </si>
  <si>
    <t>EDM electrical polarity and detailed controller truth table are not supplied.</t>
  </si>
  <si>
    <t>AI-022</t>
  </si>
  <si>
    <t>The EDM loop is shorted, bypassed or otherwise stuck in a false healthy/open-proven state.</t>
  </si>
  <si>
    <t>CTRL-01 can receive acceptable EDM feedback even when one contactor has failed to open.</t>
  </si>
  <si>
    <t>A single welded contactor can remain undetected and reset can be permitted, leaving only one effective power-interruption path for the next demand.</t>
  </si>
  <si>
    <t>The hidden degradation can combine with a later failure of the remaining contactor or output path and allow hazardous motion to continue during an E-stop demand.</t>
  </si>
  <si>
    <t>No effective runtime detection is established for a plausibly valid false-healthy EDM state; EDM bypass and welded-contactor combination testing can reveal it.</t>
  </si>
  <si>
    <t>Inject false-healthy EDM feedback with K1 welded and K2 welded separately and verify that the fault cannot permit reset unnoticed.</t>
  </si>
  <si>
    <t>EDM-01; CTRL-01; K1; K2; A-007; SR-006; SR-008; SR-010; SR-012</t>
  </si>
  <si>
    <t>An electrical EDM fault can reproduce the controller's accepted open-proven state.</t>
  </si>
  <si>
    <t>EDM wiring, signal polarity, pulse diagnostics and force-guided auxiliary-contact arrangement are not supplied.</t>
  </si>
  <si>
    <t>AI-023</t>
  </si>
  <si>
    <t>RESET-01</t>
  </si>
  <si>
    <t>RESET-01 or its input wiring is open circuit or stuck inactive.</t>
  </si>
  <si>
    <t>CTRL-01 receives no deliberate reset edge after recovery.</t>
  </si>
  <si>
    <t>Reset remains unavailable and Q1/Q2 should not be re-energized through the reset sequence; the safe state persists.</t>
  </si>
  <si>
    <t>No unintended restart is expected; system availability is lost.</t>
  </si>
  <si>
    <t>A reset-sequence test shows that no reset edge is received and reset remains blocked.</t>
  </si>
  <si>
    <t>Inject an inactive/open reset input after a valid E-stop recovery and verify that the controller remains reset-not-ready without re-energizing outputs.</t>
  </si>
  <si>
    <t>RESET-01; CTRL-01; SF-01; A-008; SR-007; SR-008; SR-011</t>
  </si>
  <si>
    <t>Reset input electrical topology and diagnostics are not supplied.</t>
  </si>
  <si>
    <t>AI-024</t>
  </si>
  <si>
    <t>RESET-01 or its input wiring is stuck active, producing a steady level instead of a deliberate edge.</t>
  </si>
  <si>
    <t>The reset input remains continuously active.</t>
  </si>
  <si>
    <t>CTRL-01 should reject the steady level and keep reset inhibited; a new deliberate reset edge cannot be formed until the fault is cleared.</t>
  </si>
  <si>
    <t>No unintended restart is expected if the monitored-edge behavior is implemented; restart availability is lost.</t>
  </si>
  <si>
    <t>The held/stuck reset negative test required by SR-008.</t>
  </si>
  <si>
    <t>Hold RESET active through E-stop release, EDM recovery and power restoration and verify that no reset or output re-energization occurs.</t>
  </si>
  <si>
    <t>RESET-01; RESET; CTRL-01; A-008; SR-007; SR-008; SR-009</t>
  </si>
  <si>
    <t>CTRL-01 implements the stated monitored rising-edge and steady-level rejection behavior.</t>
  </si>
  <si>
    <t>Actual reset configuration and test result are not supplied.</t>
  </si>
  <si>
    <t>AI-025</t>
  </si>
  <si>
    <t>RESET-01 or its wiring generates an unintended rising edge after the E-stop channels and EDM feedback have become healthy.</t>
  </si>
  <si>
    <t>CTRL-01 receives an apparently valid reset edge without a deliberate operator action.</t>
  </si>
  <si>
    <t>Reset inhibition can be cleared and Q1/Q2 may become eligible for re-energization, although the supplied evidence states that reset itself must not command robot motion.</t>
  </si>
  <si>
    <t>Loss of deliberate reset can re-enable the power path, but whether hazardous robot motion follows cannot be determined because robot motion-control behavior is out of scope.</t>
  </si>
  <si>
    <t>Reset-edge logging and negative testing for unintended or simulated reset edges; no runtime plausibility mechanism beyond the edge and prerequisite checks is specified.</t>
  </si>
  <si>
    <t>Inject a spurious reset edge after recovery and verify the exact Q1/Q2 response and that reset does not command robot motion.</t>
  </si>
  <si>
    <t>RESET-01; RESET; CTRL-01; Q1; Q2; A-008; SR-007; SR-008; SR-011</t>
  </si>
  <si>
    <t>A transient wiring or contact event can be interpreted as a valid rising edge.</t>
  </si>
  <si>
    <t>Post-reset output behavior, robot motion-control interlocks and reset-input filtering are not supplied.</t>
  </si>
  <si>
    <t>AI-026</t>
  </si>
  <si>
    <t>CTRL-01 reset logic incorrectly accepts reset while an E-stop channel is demanded/unhealthy or EDM has not proven both contactors open.</t>
  </si>
  <si>
    <t>A reset edge bypasses one or more required reset prerequisites.</t>
  </si>
  <si>
    <t>Restart inhibition is lost and Q1/Q2 can be re-energized while the input or contactor state is unsafe or unresolved.</t>
  </si>
  <si>
    <t>Power enabling hazardous robot motion can be restored contrary to the safety function; whether motion begins immediately is unknown because reset is specified not to command motion and motion control is out of scope.</t>
  </si>
  <si>
    <t>Reset-sequence negative tests covering demanded channels, channel discrepancy, unhealthy EDM and held reset as required by SR-003, SR-006 and SR-008.</t>
  </si>
  <si>
    <t>Execute a reset truth-table test for every invalid prerequisite combination and trace reset state, Q1/Q2, K1/K2 and EDM.</t>
  </si>
  <si>
    <t>CTRL-01; RESET-01; CH-A; CH-B; EDM-01; Q1; Q2; SF-01; A-008; SR-003; SR-006; SR-007; SR-008</t>
  </si>
  <si>
    <t>Acceptance of an invalid reset can permit Q1/Q2 re-energization.</t>
  </si>
  <si>
    <t>The implemented reset state machine and the external robot motion interlocks are not supplied.</t>
  </si>
  <si>
    <t>AI-027</t>
  </si>
  <si>
    <t>SUP-01</t>
  </si>
  <si>
    <t>SUP-01 control power is lost.</t>
  </si>
  <si>
    <t>CTRL-01 and the K1/K2 coils lose 24 V control power.</t>
  </si>
  <si>
    <t>Q1/Q2 and K1/K2 de-energize, the contactors open and the safe state is reached; restoration must not cause automatic restart.</t>
  </si>
  <si>
    <t>No continued hazardous motion is expected from the power-loss condition under the specified de-energize-to-safe behavior; unintended restart on restoration is a separate failure candidate.</t>
  </si>
  <si>
    <t>Power interruption test with output and contactor state evidence during loss and after restoration.</t>
  </si>
  <si>
    <t>Interrupt SUP-01 during normal operation and during reset recovery, then verify safe-state entry and persistent restart inhibition after restoration.</t>
  </si>
  <si>
    <t>SUP-01; CTRL-01; K1; K2; SF-01; A-009; SR-009</t>
  </si>
  <si>
    <t>Loss of SUP-01 actually removes power from both contactor coils as stated in the system definition.</t>
  </si>
  <si>
    <t>Stored-energy behavior and measured contactor drop-out timing are not supplied.</t>
  </si>
  <si>
    <t>AI-028</t>
  </si>
  <si>
    <t>After SUP-01 restoration, CTRL-01 initializes into a reset/energized state instead of retaining restart inhibition.</t>
  </si>
  <si>
    <t>Q1/Q2 can energize without a new valid manual reset edge.</t>
  </si>
  <si>
    <t>K1/K2 can close and restore drive power automatically after control-power recovery, contrary to SR-009.</t>
  </si>
  <si>
    <t>Power enabling hazardous robot motion can be restored unexpectedly; actual motion initiation is unknown because motion-control software is out of scope.</t>
  </si>
  <si>
    <t>Power interruption and restoration test with no reset action, observing Q1/Q2, K1/K2 and the reset state.</t>
  </si>
  <si>
    <t>Test restoration from each relevant pre-loss state and verify that a fresh valid reset sequence is required before output energization is permitted.</t>
  </si>
  <si>
    <t>SUP-01; CTRL-01; Q1; Q2; K1; K2; RESET-01; A-008; A-009; SR-007; SR-008; SR-009</t>
  </si>
  <si>
    <t>CTRL-01 startup behavior can be affected by application configuration or retained state.</t>
  </si>
  <si>
    <t>CTRL-01 startup-state logic, retained-memory behavior and robot motion interlocks are not supplied.</t>
  </si>
  <si>
    <t>AI-029</t>
  </si>
  <si>
    <t>SUP-01 is intermittent or at an intermediate voltage that does not produce the complete de-energization assumed for a total power loss.</t>
  </si>
  <si>
    <t>CTRL-01 and the two contactor coils may not change state together or predictably.</t>
  </si>
  <si>
    <t>The evidence is insufficient to determine whether both contactors open, whether one path remains energized or how CTRL-01 initializes after recovery.</t>
  </si>
  <si>
    <t>A hazardous consequence is possible only if the supply condition keeps both power paths closed or causes uncommanded re-energization; this cannot be determined from the supplied evidence.</t>
  </si>
  <si>
    <t>No voltage threshold, brownout diagnostic or intermediate-voltage behavior is specified; controlled power-profile testing could determine the response.</t>
  </si>
  <si>
    <t>Obtain permitted voltage ranges and dropout/reset characteristics for CTRL-01, K1 and K2, then test representative controlled voltage interruptions without treating AI output as evidence.</t>
  </si>
  <si>
    <t>SUP-01; CTRL-01; K1; K2; A-009; SR-009; SR-012</t>
  </si>
  <si>
    <t>SUP-01 can experience a non-ideal interruption rather than a clean loss and restoration.</t>
  </si>
  <si>
    <t>Supply characteristics, load behavior, controller brownout thresholds, contactor dropout thresholds and test results are not supplied.</t>
  </si>
  <si>
    <t>Reference match</t>
  </si>
  <si>
    <t>No correction required.</t>
  </si>
  <si>
    <t>Causal chain is reasonable within the supplied assumptions.</t>
  </si>
  <si>
    <t>Valid additional</t>
  </si>
  <si>
    <t>Duplicate</t>
  </si>
  <si>
    <t>Merge with AI-006; do not count as an additional distinct failure mechanism.</t>
  </si>
  <si>
    <t>Same common input-channel coupling or bypass mechanism is already covered by AI-006.</t>
  </si>
  <si>
    <t>Split output stuck-energized and field-wire short-to-24 V into separate failure-mode rows.</t>
  </si>
  <si>
    <t>Current row bundles the mechanisms represented by FM-007 and FM-016.</t>
  </si>
  <si>
    <t>Split K1 welded and K2 welded into separate failure-mode rows.</t>
  </si>
  <si>
    <t>Current row bundles the K1 and K2 welded cases represented by FM-008 and FM-009.</t>
  </si>
  <si>
    <t>Severity requires human confirmation.</t>
  </si>
  <si>
    <t>S=5 is retained only as an illustrative value pending human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</si>
</sst>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8"/>
      <color rgb="FFFFFFFF"/>
      <name val="Calibri"/>
    </font>
    <font>
      <b/>
      <sz val="11"/>
      <color rgb="FF17365D"/>
      <name val="Calibri"/>
    </font>
    <font>
      <sz val="10"/>
      <color rgb="FF404040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9"/>
      <color theme="1"/>
      <name val="Calibri"/>
    </font>
    <font>
      <b/>
      <sz val="9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0F6B78"/>
      </patternFill>
    </fill>
    <fill>
      <patternFill patternType="solid">
        <fgColor rgb="FFD9EAF7"/>
      </patternFill>
    </fill>
    <fill>
      <patternFill patternType="solid">
        <fgColor rgb="FFFFF9E6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" fontId="0" fillId="0" borderId="1" xfId="0" applyNumberFormat="1" applyBorder="1" applyAlignment="1">
      <alignment horizontal="center"/>
    </xf>
    <xf numFmtId="0" fontId="4" fillId="4" borderId="0" xfId="0" applyFont="1" applyFill="1" applyAlignment="1">
      <alignment horizontal="left" vertical="center"/>
    </xf>
    <xf numFmtId="0" fontId="5" fillId="5" borderId="1" xfId="0" applyFont="1" applyFill="1" applyBorder="1"/>
    <xf numFmtId="0" fontId="6" fillId="0" borderId="0" xfId="0" applyFont="1" applyAlignment="1">
      <alignment vertical="top" wrapText="1"/>
    </xf>
    <xf numFmtId="1" fontId="6" fillId="6" borderId="0" xfId="0" applyNumberFormat="1" applyFont="1" applyFill="1" applyAlignment="1">
      <alignment horizontal="center" vertical="top"/>
    </xf>
    <xf numFmtId="0" fontId="6" fillId="0" borderId="0" xfId="0" applyFont="1" applyAlignment="1">
      <alignment horizontal="center" vertical="top"/>
    </xf>
    <xf numFmtId="1" fontId="7" fillId="7" borderId="0" xfId="0" applyNumberFormat="1" applyFont="1" applyFill="1" applyAlignment="1">
      <alignment horizontal="center" vertical="top"/>
    </xf>
    <xf numFmtId="0" fontId="6" fillId="3" borderId="0" xfId="0" applyFont="1" applyFill="1" applyAlignment="1">
      <alignment vertical="top" wrapText="1"/>
    </xf>
    <xf numFmtId="1" fontId="0" fillId="6" borderId="0" xfId="0" applyNumberFormat="1" applyFill="1" applyAlignment="1">
      <alignment horizontal="center" vertical="top"/>
    </xf>
    <xf numFmtId="0" fontId="6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vertical="center" wrapText="1"/>
    </xf>
    <xf numFmtId="0" fontId="4" fillId="4" borderId="0" xfId="0" applyFont="1" applyFill="1" applyAlignment="1">
      <alignment horizontal="left" vertical="center"/>
    </xf>
  </cellXfs>
  <cellStyles count="1">
    <cellStyle name="Normal" xfId="0" builtinId="0"/>
  </cellStyles>
  <dxfs count="22">
    <dxf>
      <font>
        <sz val="9"/>
      </font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ont>
        <sz val="9"/>
      </font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ont>
        <sz val="9"/>
      </font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ont>
        <sz val="9"/>
      </font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ont>
        <color rgb="FF9C0006"/>
      </font>
      <fill>
        <patternFill>
          <bgColor rgb="FFF4CCCC"/>
        </patternFill>
      </fill>
    </dxf>
    <dxf>
      <font>
        <color rgb="FF17365D"/>
      </font>
      <fill>
        <patternFill>
          <bgColor rgb="FFD9EAF7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404040"/>
      </font>
      <fill>
        <patternFill>
          <bgColor rgb="FFFFF2CC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17365D"/>
      </font>
      <fill>
        <patternFill>
          <bgColor rgb="FFD9EAF7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404040"/>
      </font>
      <fill>
        <patternFill>
          <bgColor rgb="FFFFF2CC"/>
        </patternFill>
      </fill>
    </dxf>
    <dxf>
      <font>
        <color rgb="FF404040"/>
      </font>
      <fill>
        <patternFill>
          <bgColor rgb="FFE7E6E6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numFmt numFmtId="1" formatCode="0"/>
      <fill>
        <patternFill>
          <bgColor rgb="FFFFF9E6"/>
        </patternFill>
      </fill>
    </dxf>
    <dxf>
      <font>
        <b/>
      </font>
      <numFmt numFmtId="1" formatCode="0"/>
      <fill>
        <patternFill>
          <bgColor rgb="FFE2F0D9"/>
        </patternFill>
      </fill>
    </dxf>
    <dxf>
      <numFmt numFmtId="1" formatCode="0"/>
      <fill>
        <patternFill>
          <bgColor rgb="FFFFF9E6"/>
        </patternFill>
      </fill>
    </dxf>
    <dxf>
      <numFmt numFmtId="1" formatCode="0"/>
      <fill>
        <patternFill>
          <bgColor rgb="FFFFF9E6"/>
        </patternFill>
      </fill>
    </dxf>
    <dxf>
      <numFmt numFmtId="1" formatCode="0"/>
      <fill>
        <patternFill>
          <bgColor rgb="FFFFF9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2733675</xdr:colOff>
      <xdr:row>8</xdr:row>
      <xdr:rowOff>514350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898C00D9-C583-347A-6953-D1182E5BFC4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2733675</xdr:colOff>
      <xdr:row>8</xdr:row>
      <xdr:rowOff>514350</xdr:rowOff>
    </xdr:to>
    <xdr:sp macro="" textlink="">
      <xdr:nvSpPr>
        <xdr:cNvPr id="2" name="AutoShape 7">
          <a:extLst>
            <a:ext uri="{FF2B5EF4-FFF2-40B4-BE49-F238E27FC236}">
              <a16:creationId xmlns:a16="http://schemas.microsoft.com/office/drawing/2014/main" id="{A29403C9-81C5-DFBA-71D5-3188DDBE26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tingCriteria" displayName="RatingCriteria" ref="A5:D15" totalsRowShown="0">
  <autoFilter ref="A5:D15" xr:uid="{00000000-0009-0000-0100-000001000000}"/>
  <tableColumns count="4">
    <tableColumn id="1" xr3:uid="{00000000-0010-0000-0000-000001000000}" name="Score" dataDxfId="17"/>
    <tableColumn id="2" xr3:uid="{00000000-0010-0000-0000-000002000000}" name="Severity (S)"/>
    <tableColumn id="3" xr3:uid="{00000000-0010-0000-0000-000003000000}" name="Occurrence (O)"/>
    <tableColumn id="4" xr3:uid="{00000000-0010-0000-0000-000004000000}" name="Detectability (D)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MEA_TRIAL_01" displayName="FMEA_TRIAL_01" ref="A1:U30" totalsRowShown="0">
  <autoFilter ref="A1:U30" xr:uid="{00000000-0009-0000-0100-000002000000}"/>
  <tableColumns count="21">
    <tableColumn id="1" xr3:uid="{00000000-0010-0000-0100-000001000000}" name="Candidate ID"/>
    <tableColumn id="2" xr3:uid="{00000000-0010-0000-0100-000002000000}" name="Element ID"/>
    <tableColumn id="3" xr3:uid="{00000000-0010-0000-0100-000003000000}" name="Failure mode"/>
    <tableColumn id="4" xr3:uid="{00000000-0010-0000-0100-000004000000}" name="Local effect"/>
    <tableColumn id="5" xr3:uid="{00000000-0010-0000-0100-000005000000}" name="System effect"/>
    <tableColumn id="6" xr3:uid="{00000000-0010-0000-0100-000006000000}" name="Potential hazardous consequence"/>
    <tableColumn id="7" xr3:uid="{00000000-0010-0000-0100-000007000000}" name="Detection mechanism"/>
    <tableColumn id="8" xr3:uid="{00000000-0010-0000-0100-000008000000}" name="Recommended action"/>
    <tableColumn id="9" xr3:uid="{00000000-0010-0000-0100-000009000000}" name="Evidence references"/>
    <tableColumn id="10" xr3:uid="{00000000-0010-0000-0100-00000A000000}" name="Confidence"/>
    <tableColumn id="11" xr3:uid="{00000000-0010-0000-0100-00000B000000}" name="Assumptions"/>
    <tableColumn id="12" xr3:uid="{00000000-0010-0000-0100-00000C000000}" name="Missing information"/>
    <tableColumn id="13" xr3:uid="{00000000-0010-0000-0100-00000D000000}" name="AI classification"/>
    <tableColumn id="14" xr3:uid="{00000000-0010-0000-0100-00000E000000}" name="Severity (S)" dataDxfId="21"/>
    <tableColumn id="15" xr3:uid="{00000000-0010-0000-0100-00000F000000}" name="Occurrence (O)" dataDxfId="20"/>
    <tableColumn id="16" xr3:uid="{00000000-0010-0000-0100-000010000000}" name="Detectability (D)" dataDxfId="19"/>
    <tableColumn id="17" xr3:uid="{00000000-0010-0000-0100-000011000000}" name="RPN" dataDxfId="18"/>
    <tableColumn id="18" xr3:uid="{00000000-0010-0000-0100-000012000000}" name="Human disposition" dataDxfId="3"/>
    <tableColumn id="19" xr3:uid="{00000000-0010-0000-0100-000013000000}" name="Score category" dataDxfId="2"/>
    <tableColumn id="20" xr3:uid="{00000000-0010-0000-0100-000014000000}" name="Reviewer corrections" dataDxfId="1"/>
    <tableColumn id="21" xr3:uid="{00000000-0010-0000-0100-000015000000}" name="Reviewer 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F20"/>
  <sheetViews>
    <sheetView showGridLines="0" workbookViewId="0"/>
  </sheetViews>
  <sheetFormatPr defaultRowHeight="15" x14ac:dyDescent="0.25"/>
  <cols>
    <col min="1" max="1" width="24.7109375" customWidth="1"/>
    <col min="2" max="2" width="14.7109375" customWidth="1"/>
    <col min="3" max="3" width="4.7109375" customWidth="1"/>
    <col min="4" max="4" width="22.7109375" customWidth="1"/>
    <col min="5" max="5" width="14.7109375" customWidth="1"/>
    <col min="6" max="6" width="4.7109375" customWidth="1"/>
  </cols>
  <sheetData>
    <row r="1" spans="1:6" ht="30" customHeight="1" x14ac:dyDescent="0.25">
      <c r="A1" s="12" t="s">
        <v>0</v>
      </c>
      <c r="B1" s="12"/>
      <c r="C1" s="12"/>
      <c r="D1" s="12"/>
      <c r="E1" s="12"/>
      <c r="F1" s="12"/>
    </row>
    <row r="2" spans="1:6" x14ac:dyDescent="0.25">
      <c r="A2" s="1" t="s">
        <v>1</v>
      </c>
      <c r="B2" t="s">
        <v>2</v>
      </c>
      <c r="D2" s="1" t="s">
        <v>3</v>
      </c>
      <c r="E2" s="2">
        <f>COUNTA('FMEA Candidates'!$A$2:$A$1048576)</f>
        <v>29</v>
      </c>
    </row>
    <row r="4" spans="1:6" ht="54" customHeight="1" x14ac:dyDescent="0.25">
      <c r="A4" s="13" t="s">
        <v>4</v>
      </c>
      <c r="B4" s="13"/>
      <c r="C4" s="13"/>
      <c r="D4" s="13"/>
      <c r="E4" s="13"/>
      <c r="F4" s="13"/>
    </row>
    <row r="6" spans="1:6" x14ac:dyDescent="0.25">
      <c r="A6" s="14" t="s">
        <v>5</v>
      </c>
      <c r="B6" s="14"/>
      <c r="D6" s="14" t="s">
        <v>6</v>
      </c>
      <c r="E6" s="14"/>
    </row>
    <row r="7" spans="1:6" x14ac:dyDescent="0.25">
      <c r="A7" s="4" t="s">
        <v>7</v>
      </c>
      <c r="B7" s="4" t="s">
        <v>8</v>
      </c>
      <c r="D7" s="4" t="s">
        <v>6</v>
      </c>
      <c r="E7" s="4" t="s">
        <v>8</v>
      </c>
    </row>
    <row r="8" spans="1:6" x14ac:dyDescent="0.25">
      <c r="A8" t="s">
        <v>9</v>
      </c>
      <c r="B8" s="2">
        <f>COUNTIF('FMEA Candidates'!$M$2:$M$30,A8)</f>
        <v>8</v>
      </c>
      <c r="D8" t="s">
        <v>10</v>
      </c>
      <c r="E8" s="2">
        <f>COUNTIF('FMEA Candidates'!$J$2:$J$30,D8)</f>
        <v>12</v>
      </c>
    </row>
    <row r="9" spans="1:6" x14ac:dyDescent="0.25">
      <c r="A9" t="s">
        <v>11</v>
      </c>
      <c r="B9" s="2">
        <f>COUNTIF('FMEA Candidates'!$M$2:$M$30,A9)</f>
        <v>4</v>
      </c>
      <c r="D9" t="s">
        <v>12</v>
      </c>
      <c r="E9" s="2">
        <f>COUNTIF('FMEA Candidates'!$J$2:$J$30,D9)</f>
        <v>14</v>
      </c>
    </row>
    <row r="10" spans="1:6" x14ac:dyDescent="0.25">
      <c r="A10" t="s">
        <v>13</v>
      </c>
      <c r="B10" s="2">
        <f>COUNTIF('FMEA Candidates'!$M$2:$M$30,A10)</f>
        <v>6</v>
      </c>
      <c r="D10" t="s">
        <v>14</v>
      </c>
      <c r="E10" s="2">
        <f>COUNTIF('FMEA Candidates'!$J$2:$J$30,D10)</f>
        <v>3</v>
      </c>
    </row>
    <row r="11" spans="1:6" x14ac:dyDescent="0.25">
      <c r="A11" t="s">
        <v>15</v>
      </c>
      <c r="B11" s="2">
        <f>COUNTIF('FMEA Candidates'!$M$2:$M$30,A11)</f>
        <v>6</v>
      </c>
    </row>
    <row r="12" spans="1:6" x14ac:dyDescent="0.25">
      <c r="A12" t="s">
        <v>16</v>
      </c>
      <c r="B12" s="2">
        <f>COUNTIF('FMEA Candidates'!$M$2:$M$30,A12)</f>
        <v>5</v>
      </c>
    </row>
    <row r="15" spans="1:6" x14ac:dyDescent="0.25">
      <c r="A15" s="14" t="s">
        <v>17</v>
      </c>
      <c r="B15" s="14"/>
      <c r="D15" s="3" t="s">
        <v>18</v>
      </c>
    </row>
    <row r="16" spans="1:6" x14ac:dyDescent="0.25">
      <c r="A16" s="4" t="s">
        <v>19</v>
      </c>
      <c r="B16" s="4" t="s">
        <v>8</v>
      </c>
      <c r="D16" s="11" t="s">
        <v>20</v>
      </c>
      <c r="E16" s="11"/>
    </row>
    <row r="17" spans="1:5" x14ac:dyDescent="0.25">
      <c r="A17" t="s">
        <v>21</v>
      </c>
      <c r="B17" s="2">
        <f>COUNTIF('FMEA Candidates'!$R$2:$R$30,A17)</f>
        <v>0</v>
      </c>
      <c r="D17" s="11"/>
      <c r="E17" s="11"/>
    </row>
    <row r="18" spans="1:5" x14ac:dyDescent="0.25">
      <c r="A18" t="s">
        <v>22</v>
      </c>
      <c r="B18" s="2">
        <f>COUNTIF('FMEA Candidates'!$R$2:$R$30,A18)</f>
        <v>26</v>
      </c>
      <c r="D18" s="11"/>
      <c r="E18" s="11"/>
    </row>
    <row r="19" spans="1:5" x14ac:dyDescent="0.25">
      <c r="A19" t="s">
        <v>23</v>
      </c>
      <c r="B19" s="2">
        <f>COUNTIF('FMEA Candidates'!$R$2:$R$30,A19)</f>
        <v>2</v>
      </c>
      <c r="D19" s="11"/>
      <c r="E19" s="11"/>
    </row>
    <row r="20" spans="1:5" x14ac:dyDescent="0.25">
      <c r="A20" t="s">
        <v>24</v>
      </c>
      <c r="B20" s="2">
        <f>COUNTIF('FMEA Candidates'!$R$2:$R$30,A20)</f>
        <v>1</v>
      </c>
      <c r="D20" s="11"/>
      <c r="E20" s="11"/>
    </row>
  </sheetData>
  <mergeCells count="6">
    <mergeCell ref="D16:E20"/>
    <mergeCell ref="A1:F1"/>
    <mergeCell ref="A4:F4"/>
    <mergeCell ref="A6:B6"/>
    <mergeCell ref="D6:E6"/>
    <mergeCell ref="A15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6B656"/>
  </sheetPr>
  <dimension ref="A1:D18"/>
  <sheetViews>
    <sheetView showGridLines="0" workbookViewId="0"/>
  </sheetViews>
  <sheetFormatPr defaultRowHeight="15" x14ac:dyDescent="0.25"/>
  <cols>
    <col min="1" max="1" width="10.7109375" customWidth="1"/>
    <col min="2" max="4" width="46.7109375" customWidth="1"/>
  </cols>
  <sheetData>
    <row r="1" spans="1:4" ht="30" customHeight="1" x14ac:dyDescent="0.25">
      <c r="A1" s="12" t="s">
        <v>25</v>
      </c>
      <c r="B1" s="12"/>
      <c r="C1" s="12"/>
      <c r="D1" s="12"/>
    </row>
    <row r="3" spans="1:4" ht="68.099999999999994" customHeight="1" x14ac:dyDescent="0.25">
      <c r="A3" s="13" t="s">
        <v>26</v>
      </c>
      <c r="B3" s="13"/>
      <c r="C3" s="13"/>
      <c r="D3" s="13"/>
    </row>
    <row r="5" spans="1:4" ht="32.1" customHeight="1" x14ac:dyDescent="0.25">
      <c r="A5" t="s">
        <v>27</v>
      </c>
      <c r="B5" t="s">
        <v>28</v>
      </c>
      <c r="C5" t="s">
        <v>29</v>
      </c>
      <c r="D5" t="s">
        <v>30</v>
      </c>
    </row>
    <row r="6" spans="1:4" ht="50.1" customHeight="1" x14ac:dyDescent="0.25">
      <c r="A6" s="6">
        <v>1</v>
      </c>
      <c r="B6" s="5" t="s">
        <v>31</v>
      </c>
      <c r="C6" s="5" t="s">
        <v>32</v>
      </c>
      <c r="D6" s="5" t="s">
        <v>33</v>
      </c>
    </row>
    <row r="7" spans="1:4" ht="50.1" customHeight="1" x14ac:dyDescent="0.25">
      <c r="A7" s="6">
        <v>2</v>
      </c>
      <c r="B7" s="5" t="s">
        <v>34</v>
      </c>
      <c r="C7" s="5" t="s">
        <v>35</v>
      </c>
      <c r="D7" s="5" t="s">
        <v>36</v>
      </c>
    </row>
    <row r="8" spans="1:4" ht="50.1" customHeight="1" x14ac:dyDescent="0.25">
      <c r="A8" s="6">
        <v>3</v>
      </c>
      <c r="B8" s="5" t="s">
        <v>37</v>
      </c>
      <c r="C8" s="5" t="s">
        <v>38</v>
      </c>
      <c r="D8" s="5" t="s">
        <v>39</v>
      </c>
    </row>
    <row r="9" spans="1:4" ht="50.1" customHeight="1" x14ac:dyDescent="0.25">
      <c r="A9" s="6">
        <v>4</v>
      </c>
      <c r="B9" s="5" t="s">
        <v>40</v>
      </c>
      <c r="C9" s="5" t="s">
        <v>41</v>
      </c>
      <c r="D9" s="5" t="s">
        <v>42</v>
      </c>
    </row>
    <row r="10" spans="1:4" ht="50.1" customHeight="1" x14ac:dyDescent="0.25">
      <c r="A10" s="6">
        <v>5</v>
      </c>
      <c r="B10" s="5" t="s">
        <v>43</v>
      </c>
      <c r="C10" s="5" t="s">
        <v>44</v>
      </c>
      <c r="D10" s="5" t="s">
        <v>45</v>
      </c>
    </row>
    <row r="11" spans="1:4" ht="50.1" customHeight="1" x14ac:dyDescent="0.25">
      <c r="A11" s="6">
        <v>6</v>
      </c>
      <c r="B11" s="5" t="s">
        <v>46</v>
      </c>
      <c r="C11" s="5" t="s">
        <v>47</v>
      </c>
      <c r="D11" s="5" t="s">
        <v>48</v>
      </c>
    </row>
    <row r="12" spans="1:4" ht="50.1" customHeight="1" x14ac:dyDescent="0.25">
      <c r="A12" s="6">
        <v>7</v>
      </c>
      <c r="B12" s="5" t="s">
        <v>49</v>
      </c>
      <c r="C12" s="5" t="s">
        <v>50</v>
      </c>
      <c r="D12" s="5" t="s">
        <v>51</v>
      </c>
    </row>
    <row r="13" spans="1:4" ht="50.1" customHeight="1" x14ac:dyDescent="0.25">
      <c r="A13" s="6">
        <v>8</v>
      </c>
      <c r="B13" s="5" t="s">
        <v>52</v>
      </c>
      <c r="C13" s="5" t="s">
        <v>53</v>
      </c>
      <c r="D13" s="5" t="s">
        <v>54</v>
      </c>
    </row>
    <row r="14" spans="1:4" ht="50.1" customHeight="1" x14ac:dyDescent="0.25">
      <c r="A14" s="6">
        <v>9</v>
      </c>
      <c r="B14" s="5" t="s">
        <v>55</v>
      </c>
      <c r="C14" s="5" t="s">
        <v>56</v>
      </c>
      <c r="D14" s="5" t="s">
        <v>57</v>
      </c>
    </row>
    <row r="15" spans="1:4" ht="50.1" customHeight="1" x14ac:dyDescent="0.25">
      <c r="A15" s="6">
        <v>10</v>
      </c>
      <c r="B15" s="5" t="s">
        <v>58</v>
      </c>
      <c r="C15" s="5" t="s">
        <v>59</v>
      </c>
      <c r="D15" s="5" t="s">
        <v>60</v>
      </c>
    </row>
    <row r="17" spans="1:4" x14ac:dyDescent="0.25">
      <c r="A17" s="13" t="s">
        <v>61</v>
      </c>
      <c r="B17" s="13"/>
      <c r="C17" s="13"/>
      <c r="D17" s="13"/>
    </row>
    <row r="18" spans="1:4" x14ac:dyDescent="0.25">
      <c r="A18" s="13"/>
      <c r="B18" s="13"/>
      <c r="C18" s="13"/>
      <c r="D18" s="13"/>
    </row>
  </sheetData>
  <mergeCells count="3">
    <mergeCell ref="A1:D1"/>
    <mergeCell ref="A3:D3"/>
    <mergeCell ref="A17:D18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6B78"/>
  </sheetPr>
  <dimension ref="A1:U30"/>
  <sheetViews>
    <sheetView showGridLines="0" tabSelected="1" topLeftCell="L1" workbookViewId="0">
      <selection activeCell="R2" sqref="R2:U30"/>
    </sheetView>
  </sheetViews>
  <sheetFormatPr defaultRowHeight="15" x14ac:dyDescent="0.25"/>
  <cols>
    <col min="1" max="1" width="12.7109375" customWidth="1"/>
    <col min="2" max="2" width="13.7109375" customWidth="1"/>
    <col min="3" max="3" width="38.7109375" customWidth="1"/>
    <col min="4" max="4" width="36.7109375" customWidth="1"/>
    <col min="5" max="6" width="42.7109375" customWidth="1"/>
    <col min="7" max="7" width="38.7109375" customWidth="1"/>
    <col min="8" max="8" width="40.7109375" customWidth="1"/>
    <col min="9" max="9" width="34.7109375" customWidth="1"/>
    <col min="10" max="10" width="12.7109375" customWidth="1"/>
    <col min="11" max="11" width="34.7109375" customWidth="1"/>
    <col min="12" max="12" width="38.7109375" customWidth="1"/>
    <col min="13" max="13" width="18.7109375" customWidth="1"/>
    <col min="14" max="14" width="11.7109375" customWidth="1"/>
    <col min="15" max="15" width="12.7109375" customWidth="1"/>
    <col min="16" max="16" width="15.7109375" customWidth="1"/>
    <col min="17" max="17" width="12.7109375" customWidth="1"/>
    <col min="18" max="18" width="22.7109375" customWidth="1"/>
    <col min="19" max="19" width="18.7109375" customWidth="1"/>
    <col min="20" max="21" width="38.7109375" customWidth="1"/>
  </cols>
  <sheetData>
    <row r="1" spans="1:21" ht="38.1" customHeight="1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6</v>
      </c>
      <c r="K1" t="s">
        <v>71</v>
      </c>
      <c r="L1" t="s">
        <v>72</v>
      </c>
      <c r="M1" t="s">
        <v>5</v>
      </c>
      <c r="N1" t="s">
        <v>28</v>
      </c>
      <c r="O1" t="s">
        <v>29</v>
      </c>
      <c r="P1" t="s">
        <v>30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</row>
    <row r="2" spans="1:21" ht="96" customHeight="1" x14ac:dyDescent="0.25">
      <c r="A2" s="7" t="s">
        <v>78</v>
      </c>
      <c r="B2" s="7" t="s">
        <v>79</v>
      </c>
      <c r="C2" s="5" t="s">
        <v>80</v>
      </c>
      <c r="D2" s="5" t="s">
        <v>81</v>
      </c>
      <c r="E2" s="5" t="s">
        <v>82</v>
      </c>
      <c r="F2" s="5" t="s">
        <v>83</v>
      </c>
      <c r="G2" s="5" t="s">
        <v>84</v>
      </c>
      <c r="H2" s="5" t="s">
        <v>85</v>
      </c>
      <c r="I2" s="5" t="s">
        <v>86</v>
      </c>
      <c r="J2" s="7" t="s">
        <v>10</v>
      </c>
      <c r="K2" s="5" t="s">
        <v>87</v>
      </c>
      <c r="L2" s="5" t="s">
        <v>88</v>
      </c>
      <c r="M2" s="7" t="s">
        <v>11</v>
      </c>
      <c r="N2" s="6">
        <v>4</v>
      </c>
      <c r="O2" s="6">
        <v>4</v>
      </c>
      <c r="P2" s="6">
        <v>5</v>
      </c>
      <c r="Q2" s="8">
        <f t="shared" ref="Q2:Q30" si="0">IF(COUNT(N2:P2)=3,N2*O2*P2,"")</f>
        <v>80</v>
      </c>
      <c r="R2" s="9" t="s">
        <v>22</v>
      </c>
      <c r="S2" s="9" t="s">
        <v>373</v>
      </c>
      <c r="T2" s="9" t="s">
        <v>374</v>
      </c>
      <c r="U2" s="9" t="s">
        <v>375</v>
      </c>
    </row>
    <row r="3" spans="1:21" ht="96" customHeight="1" x14ac:dyDescent="0.25">
      <c r="A3" s="7" t="s">
        <v>89</v>
      </c>
      <c r="B3" s="7" t="s">
        <v>79</v>
      </c>
      <c r="C3" s="5" t="s">
        <v>90</v>
      </c>
      <c r="D3" s="5" t="s">
        <v>91</v>
      </c>
      <c r="E3" s="5" t="s">
        <v>92</v>
      </c>
      <c r="F3" s="5" t="s">
        <v>93</v>
      </c>
      <c r="G3" s="5" t="s">
        <v>94</v>
      </c>
      <c r="H3" s="5" t="s">
        <v>95</v>
      </c>
      <c r="I3" s="5" t="s">
        <v>96</v>
      </c>
      <c r="J3" s="7" t="s">
        <v>12</v>
      </c>
      <c r="K3" s="5" t="s">
        <v>97</v>
      </c>
      <c r="L3" s="5" t="s">
        <v>98</v>
      </c>
      <c r="M3" s="7" t="s">
        <v>13</v>
      </c>
      <c r="N3" s="6">
        <v>9</v>
      </c>
      <c r="O3" s="6">
        <v>2</v>
      </c>
      <c r="P3" s="6">
        <v>9</v>
      </c>
      <c r="Q3" s="8">
        <f t="shared" si="0"/>
        <v>162</v>
      </c>
      <c r="R3" s="9" t="s">
        <v>22</v>
      </c>
      <c r="S3" s="9" t="s">
        <v>373</v>
      </c>
      <c r="T3" s="9" t="s">
        <v>374</v>
      </c>
      <c r="U3" s="9" t="s">
        <v>375</v>
      </c>
    </row>
    <row r="4" spans="1:21" ht="96" customHeight="1" x14ac:dyDescent="0.25">
      <c r="A4" s="7" t="s">
        <v>99</v>
      </c>
      <c r="B4" s="7" t="s">
        <v>79</v>
      </c>
      <c r="C4" s="5" t="s">
        <v>100</v>
      </c>
      <c r="D4" s="5" t="s">
        <v>101</v>
      </c>
      <c r="E4" s="5" t="s">
        <v>102</v>
      </c>
      <c r="F4" s="5" t="s">
        <v>103</v>
      </c>
      <c r="G4" s="5" t="s">
        <v>104</v>
      </c>
      <c r="H4" s="5" t="s">
        <v>105</v>
      </c>
      <c r="I4" s="5" t="s">
        <v>106</v>
      </c>
      <c r="J4" s="7" t="s">
        <v>10</v>
      </c>
      <c r="K4" s="5" t="s">
        <v>107</v>
      </c>
      <c r="L4" s="5" t="s">
        <v>108</v>
      </c>
      <c r="M4" s="7" t="s">
        <v>9</v>
      </c>
      <c r="N4" s="6">
        <v>3</v>
      </c>
      <c r="O4" s="6">
        <v>2</v>
      </c>
      <c r="P4" s="6">
        <v>1</v>
      </c>
      <c r="Q4" s="8">
        <f t="shared" si="0"/>
        <v>6</v>
      </c>
      <c r="R4" s="9" t="s">
        <v>22</v>
      </c>
      <c r="S4" s="9" t="s">
        <v>376</v>
      </c>
      <c r="T4" s="9" t="s">
        <v>374</v>
      </c>
      <c r="U4" s="9" t="s">
        <v>375</v>
      </c>
    </row>
    <row r="5" spans="1:21" ht="96" customHeight="1" x14ac:dyDescent="0.25">
      <c r="A5" s="7" t="s">
        <v>109</v>
      </c>
      <c r="B5" s="7" t="s">
        <v>110</v>
      </c>
      <c r="C5" s="5" t="s">
        <v>111</v>
      </c>
      <c r="D5" s="5" t="s">
        <v>112</v>
      </c>
      <c r="E5" s="5" t="s">
        <v>113</v>
      </c>
      <c r="F5" s="5" t="s">
        <v>114</v>
      </c>
      <c r="G5" s="5" t="s">
        <v>115</v>
      </c>
      <c r="H5" s="5" t="s">
        <v>116</v>
      </c>
      <c r="I5" s="5" t="s">
        <v>117</v>
      </c>
      <c r="J5" s="7" t="s">
        <v>10</v>
      </c>
      <c r="K5" s="5" t="s">
        <v>118</v>
      </c>
      <c r="L5" s="5" t="s">
        <v>119</v>
      </c>
      <c r="M5" s="7" t="s">
        <v>9</v>
      </c>
      <c r="N5" s="6">
        <v>2</v>
      </c>
      <c r="O5" s="6">
        <v>3</v>
      </c>
      <c r="P5" s="6">
        <v>1</v>
      </c>
      <c r="Q5" s="8">
        <f t="shared" si="0"/>
        <v>6</v>
      </c>
      <c r="R5" s="9" t="s">
        <v>22</v>
      </c>
      <c r="S5" s="9" t="s">
        <v>373</v>
      </c>
      <c r="T5" s="9" t="s">
        <v>374</v>
      </c>
      <c r="U5" s="9" t="s">
        <v>375</v>
      </c>
    </row>
    <row r="6" spans="1:21" ht="96" customHeight="1" x14ac:dyDescent="0.25">
      <c r="A6" s="7" t="s">
        <v>120</v>
      </c>
      <c r="B6" s="7" t="s">
        <v>110</v>
      </c>
      <c r="C6" s="5" t="s">
        <v>121</v>
      </c>
      <c r="D6" s="5" t="s">
        <v>122</v>
      </c>
      <c r="E6" s="5" t="s">
        <v>123</v>
      </c>
      <c r="F6" s="5" t="s">
        <v>124</v>
      </c>
      <c r="G6" s="5" t="s">
        <v>125</v>
      </c>
      <c r="H6" s="5" t="s">
        <v>126</v>
      </c>
      <c r="I6" s="5" t="s">
        <v>117</v>
      </c>
      <c r="J6" s="7" t="s">
        <v>10</v>
      </c>
      <c r="K6" s="5" t="s">
        <v>127</v>
      </c>
      <c r="L6" s="5" t="s">
        <v>128</v>
      </c>
      <c r="M6" s="7" t="s">
        <v>11</v>
      </c>
      <c r="N6" s="6">
        <v>6</v>
      </c>
      <c r="O6" s="6">
        <v>4</v>
      </c>
      <c r="P6" s="6">
        <v>5</v>
      </c>
      <c r="Q6" s="8">
        <f t="shared" si="0"/>
        <v>120</v>
      </c>
      <c r="R6" s="9" t="s">
        <v>22</v>
      </c>
      <c r="S6" s="9" t="s">
        <v>373</v>
      </c>
      <c r="T6" s="9" t="s">
        <v>374</v>
      </c>
      <c r="U6" s="9" t="s">
        <v>375</v>
      </c>
    </row>
    <row r="7" spans="1:21" ht="96" customHeight="1" x14ac:dyDescent="0.25">
      <c r="A7" s="7" t="s">
        <v>129</v>
      </c>
      <c r="B7" s="7" t="s">
        <v>110</v>
      </c>
      <c r="C7" s="5" t="s">
        <v>130</v>
      </c>
      <c r="D7" s="5" t="s">
        <v>131</v>
      </c>
      <c r="E7" s="5" t="s">
        <v>132</v>
      </c>
      <c r="F7" s="5" t="s">
        <v>133</v>
      </c>
      <c r="G7" s="5" t="s">
        <v>134</v>
      </c>
      <c r="H7" s="5" t="s">
        <v>135</v>
      </c>
      <c r="I7" s="5" t="s">
        <v>136</v>
      </c>
      <c r="J7" s="7" t="s">
        <v>12</v>
      </c>
      <c r="K7" s="5" t="s">
        <v>137</v>
      </c>
      <c r="L7" s="5" t="s">
        <v>138</v>
      </c>
      <c r="M7" s="7" t="s">
        <v>13</v>
      </c>
      <c r="N7" s="6">
        <v>9</v>
      </c>
      <c r="O7" s="6">
        <v>4</v>
      </c>
      <c r="P7" s="6">
        <v>9</v>
      </c>
      <c r="Q7" s="8">
        <f t="shared" si="0"/>
        <v>324</v>
      </c>
      <c r="R7" s="9" t="s">
        <v>22</v>
      </c>
      <c r="S7" s="9" t="s">
        <v>373</v>
      </c>
      <c r="T7" s="9" t="s">
        <v>374</v>
      </c>
      <c r="U7" s="9" t="s">
        <v>375</v>
      </c>
    </row>
    <row r="8" spans="1:21" ht="96" customHeight="1" x14ac:dyDescent="0.25">
      <c r="A8" s="7" t="s">
        <v>139</v>
      </c>
      <c r="B8" s="7" t="s">
        <v>110</v>
      </c>
      <c r="C8" s="5" t="s">
        <v>140</v>
      </c>
      <c r="D8" s="5" t="s">
        <v>141</v>
      </c>
      <c r="E8" s="5" t="s">
        <v>142</v>
      </c>
      <c r="F8" s="5" t="s">
        <v>143</v>
      </c>
      <c r="G8" s="5" t="s">
        <v>144</v>
      </c>
      <c r="H8" s="5" t="s">
        <v>145</v>
      </c>
      <c r="I8" s="5" t="s">
        <v>146</v>
      </c>
      <c r="J8" s="7" t="s">
        <v>14</v>
      </c>
      <c r="K8" s="5" t="s">
        <v>147</v>
      </c>
      <c r="L8" s="5" t="s">
        <v>148</v>
      </c>
      <c r="M8" s="7" t="s">
        <v>15</v>
      </c>
      <c r="N8" s="6">
        <v>7</v>
      </c>
      <c r="O8" s="6">
        <v>3</v>
      </c>
      <c r="P8" s="6">
        <v>8</v>
      </c>
      <c r="Q8" s="8">
        <f t="shared" si="0"/>
        <v>168</v>
      </c>
      <c r="R8" s="9" t="s">
        <v>24</v>
      </c>
      <c r="S8" s="9" t="s">
        <v>377</v>
      </c>
      <c r="T8" s="9" t="s">
        <v>378</v>
      </c>
      <c r="U8" s="9" t="s">
        <v>379</v>
      </c>
    </row>
    <row r="9" spans="1:21" ht="96" customHeight="1" x14ac:dyDescent="0.25">
      <c r="A9" s="7" t="s">
        <v>149</v>
      </c>
      <c r="B9" s="7" t="s">
        <v>150</v>
      </c>
      <c r="C9" s="5" t="s">
        <v>151</v>
      </c>
      <c r="D9" s="5" t="s">
        <v>152</v>
      </c>
      <c r="E9" s="5" t="s">
        <v>153</v>
      </c>
      <c r="F9" s="5" t="s">
        <v>154</v>
      </c>
      <c r="G9" s="5" t="s">
        <v>155</v>
      </c>
      <c r="H9" s="5" t="s">
        <v>156</v>
      </c>
      <c r="I9" s="5" t="s">
        <v>157</v>
      </c>
      <c r="J9" s="7" t="s">
        <v>12</v>
      </c>
      <c r="K9" s="5" t="s">
        <v>158</v>
      </c>
      <c r="L9" s="5" t="s">
        <v>159</v>
      </c>
      <c r="M9" s="7" t="s">
        <v>13</v>
      </c>
      <c r="N9" s="6">
        <v>9</v>
      </c>
      <c r="O9" s="6">
        <v>2</v>
      </c>
      <c r="P9" s="6">
        <v>8</v>
      </c>
      <c r="Q9" s="8">
        <f t="shared" si="0"/>
        <v>144</v>
      </c>
      <c r="R9" s="9" t="s">
        <v>22</v>
      </c>
      <c r="S9" s="9" t="s">
        <v>376</v>
      </c>
      <c r="T9" s="9" t="s">
        <v>374</v>
      </c>
      <c r="U9" s="9" t="s">
        <v>375</v>
      </c>
    </row>
    <row r="10" spans="1:21" ht="96" customHeight="1" x14ac:dyDescent="0.25">
      <c r="A10" s="7" t="s">
        <v>160</v>
      </c>
      <c r="B10" s="7" t="s">
        <v>150</v>
      </c>
      <c r="C10" s="5" t="s">
        <v>161</v>
      </c>
      <c r="D10" s="5" t="s">
        <v>162</v>
      </c>
      <c r="E10" s="5" t="s">
        <v>163</v>
      </c>
      <c r="F10" s="5" t="s">
        <v>164</v>
      </c>
      <c r="G10" s="5" t="s">
        <v>165</v>
      </c>
      <c r="H10" s="5" t="s">
        <v>166</v>
      </c>
      <c r="I10" s="5" t="s">
        <v>167</v>
      </c>
      <c r="J10" s="7" t="s">
        <v>12</v>
      </c>
      <c r="K10" s="5" t="s">
        <v>168</v>
      </c>
      <c r="L10" s="5" t="s">
        <v>169</v>
      </c>
      <c r="M10" s="7" t="s">
        <v>15</v>
      </c>
      <c r="N10" s="6">
        <v>7</v>
      </c>
      <c r="O10" s="6">
        <v>3</v>
      </c>
      <c r="P10" s="6">
        <v>5</v>
      </c>
      <c r="Q10" s="8">
        <f t="shared" si="0"/>
        <v>105</v>
      </c>
      <c r="R10" s="9" t="s">
        <v>22</v>
      </c>
      <c r="S10" s="9" t="s">
        <v>373</v>
      </c>
      <c r="T10" s="9" t="s">
        <v>374</v>
      </c>
      <c r="U10" s="9" t="s">
        <v>375</v>
      </c>
    </row>
    <row r="11" spans="1:21" ht="96" customHeight="1" x14ac:dyDescent="0.25">
      <c r="A11" s="7" t="s">
        <v>170</v>
      </c>
      <c r="B11" s="7" t="s">
        <v>150</v>
      </c>
      <c r="C11" s="5" t="s">
        <v>171</v>
      </c>
      <c r="D11" s="5" t="s">
        <v>172</v>
      </c>
      <c r="E11" s="5" t="s">
        <v>173</v>
      </c>
      <c r="F11" s="5" t="s">
        <v>154</v>
      </c>
      <c r="G11" s="5" t="s">
        <v>174</v>
      </c>
      <c r="H11" s="5" t="s">
        <v>175</v>
      </c>
      <c r="I11" s="5" t="s">
        <v>176</v>
      </c>
      <c r="J11" s="7" t="s">
        <v>12</v>
      </c>
      <c r="K11" s="5" t="s">
        <v>177</v>
      </c>
      <c r="L11" s="5" t="s">
        <v>178</v>
      </c>
      <c r="M11" s="7" t="s">
        <v>13</v>
      </c>
      <c r="N11" s="6">
        <v>9</v>
      </c>
      <c r="O11" s="6">
        <v>3</v>
      </c>
      <c r="P11" s="6">
        <v>8</v>
      </c>
      <c r="Q11" s="8">
        <f t="shared" si="0"/>
        <v>216</v>
      </c>
      <c r="R11" s="9" t="s">
        <v>22</v>
      </c>
      <c r="S11" s="9" t="s">
        <v>376</v>
      </c>
      <c r="T11" s="9" t="s">
        <v>374</v>
      </c>
      <c r="U11" s="9" t="s">
        <v>375</v>
      </c>
    </row>
    <row r="12" spans="1:21" ht="96" customHeight="1" x14ac:dyDescent="0.25">
      <c r="A12" s="7" t="s">
        <v>179</v>
      </c>
      <c r="B12" s="7" t="s">
        <v>150</v>
      </c>
      <c r="C12" s="5" t="s">
        <v>180</v>
      </c>
      <c r="D12" s="5" t="s">
        <v>181</v>
      </c>
      <c r="E12" s="5" t="s">
        <v>182</v>
      </c>
      <c r="F12" s="5" t="s">
        <v>183</v>
      </c>
      <c r="G12" s="5" t="s">
        <v>184</v>
      </c>
      <c r="H12" s="5" t="s">
        <v>185</v>
      </c>
      <c r="I12" s="5" t="s">
        <v>186</v>
      </c>
      <c r="J12" s="7" t="s">
        <v>10</v>
      </c>
      <c r="K12" s="5" t="s">
        <v>187</v>
      </c>
      <c r="L12" s="5" t="s">
        <v>188</v>
      </c>
      <c r="M12" s="7" t="s">
        <v>16</v>
      </c>
      <c r="N12" s="6">
        <v>7</v>
      </c>
      <c r="O12" s="6">
        <v>3</v>
      </c>
      <c r="P12" s="6">
        <v>5</v>
      </c>
      <c r="Q12" s="8">
        <f t="shared" si="0"/>
        <v>105</v>
      </c>
      <c r="R12" s="9" t="s">
        <v>22</v>
      </c>
      <c r="S12" s="9" t="s">
        <v>376</v>
      </c>
      <c r="T12" s="9" t="s">
        <v>374</v>
      </c>
      <c r="U12" s="9" t="s">
        <v>375</v>
      </c>
    </row>
    <row r="13" spans="1:21" ht="96" customHeight="1" x14ac:dyDescent="0.25">
      <c r="A13" s="7" t="s">
        <v>189</v>
      </c>
      <c r="B13" s="7" t="s">
        <v>150</v>
      </c>
      <c r="C13" s="5" t="s">
        <v>190</v>
      </c>
      <c r="D13" s="5" t="s">
        <v>191</v>
      </c>
      <c r="E13" s="5" t="s">
        <v>192</v>
      </c>
      <c r="F13" s="5" t="s">
        <v>193</v>
      </c>
      <c r="G13" s="5" t="s">
        <v>194</v>
      </c>
      <c r="H13" s="5" t="s">
        <v>195</v>
      </c>
      <c r="I13" s="5" t="s">
        <v>196</v>
      </c>
      <c r="J13" s="7" t="s">
        <v>12</v>
      </c>
      <c r="K13" s="5" t="s">
        <v>197</v>
      </c>
      <c r="L13" s="5" t="s">
        <v>198</v>
      </c>
      <c r="M13" s="7" t="s">
        <v>15</v>
      </c>
      <c r="N13" s="6">
        <v>6</v>
      </c>
      <c r="O13" s="6">
        <v>3</v>
      </c>
      <c r="P13" s="6">
        <v>5</v>
      </c>
      <c r="Q13" s="8">
        <f t="shared" si="0"/>
        <v>90</v>
      </c>
      <c r="R13" s="9" t="s">
        <v>22</v>
      </c>
      <c r="S13" s="9" t="s">
        <v>373</v>
      </c>
      <c r="T13" s="9" t="s">
        <v>374</v>
      </c>
      <c r="U13" s="9" t="s">
        <v>375</v>
      </c>
    </row>
    <row r="14" spans="1:21" ht="96" customHeight="1" x14ac:dyDescent="0.25">
      <c r="A14" s="7" t="s">
        <v>199</v>
      </c>
      <c r="B14" s="7" t="s">
        <v>200</v>
      </c>
      <c r="C14" s="5" t="s">
        <v>201</v>
      </c>
      <c r="D14" s="5" t="s">
        <v>202</v>
      </c>
      <c r="E14" s="5" t="s">
        <v>203</v>
      </c>
      <c r="F14" s="5" t="s">
        <v>204</v>
      </c>
      <c r="G14" s="5" t="s">
        <v>205</v>
      </c>
      <c r="H14" s="5" t="s">
        <v>206</v>
      </c>
      <c r="I14" s="5" t="s">
        <v>207</v>
      </c>
      <c r="J14" s="7" t="s">
        <v>12</v>
      </c>
      <c r="K14" s="5" t="s">
        <v>208</v>
      </c>
      <c r="L14" s="5" t="s">
        <v>209</v>
      </c>
      <c r="M14" s="7" t="s">
        <v>9</v>
      </c>
      <c r="N14" s="6">
        <v>3</v>
      </c>
      <c r="O14" s="6">
        <v>2</v>
      </c>
      <c r="P14" s="6">
        <v>3</v>
      </c>
      <c r="Q14" s="8">
        <f t="shared" si="0"/>
        <v>18</v>
      </c>
      <c r="R14" s="9" t="s">
        <v>22</v>
      </c>
      <c r="S14" s="9" t="s">
        <v>376</v>
      </c>
      <c r="T14" s="9" t="s">
        <v>374</v>
      </c>
      <c r="U14" s="9" t="s">
        <v>375</v>
      </c>
    </row>
    <row r="15" spans="1:21" ht="96" customHeight="1" x14ac:dyDescent="0.25">
      <c r="A15" s="7" t="s">
        <v>210</v>
      </c>
      <c r="B15" s="7" t="s">
        <v>200</v>
      </c>
      <c r="C15" s="5" t="s">
        <v>211</v>
      </c>
      <c r="D15" s="5" t="s">
        <v>212</v>
      </c>
      <c r="E15" s="5" t="s">
        <v>213</v>
      </c>
      <c r="F15" s="5" t="s">
        <v>214</v>
      </c>
      <c r="G15" s="5" t="s">
        <v>215</v>
      </c>
      <c r="H15" s="5" t="s">
        <v>216</v>
      </c>
      <c r="I15" s="5" t="s">
        <v>217</v>
      </c>
      <c r="J15" s="7" t="s">
        <v>10</v>
      </c>
      <c r="K15" s="5" t="s">
        <v>218</v>
      </c>
      <c r="L15" s="5" t="s">
        <v>219</v>
      </c>
      <c r="M15" s="7" t="s">
        <v>11</v>
      </c>
      <c r="N15" s="6">
        <v>6</v>
      </c>
      <c r="O15" s="6">
        <v>3</v>
      </c>
      <c r="P15" s="6">
        <v>3</v>
      </c>
      <c r="Q15" s="8">
        <f t="shared" si="0"/>
        <v>54</v>
      </c>
      <c r="R15" s="9" t="s">
        <v>23</v>
      </c>
      <c r="S15" s="9" t="s">
        <v>373</v>
      </c>
      <c r="T15" s="9" t="s">
        <v>380</v>
      </c>
      <c r="U15" s="9" t="s">
        <v>381</v>
      </c>
    </row>
    <row r="16" spans="1:21" ht="96" customHeight="1" x14ac:dyDescent="0.25">
      <c r="A16" s="7" t="s">
        <v>220</v>
      </c>
      <c r="B16" s="7" t="s">
        <v>200</v>
      </c>
      <c r="C16" s="5" t="s">
        <v>221</v>
      </c>
      <c r="D16" s="5" t="s">
        <v>222</v>
      </c>
      <c r="E16" s="5" t="s">
        <v>223</v>
      </c>
      <c r="F16" s="5" t="s">
        <v>224</v>
      </c>
      <c r="G16" s="5" t="s">
        <v>225</v>
      </c>
      <c r="H16" s="5" t="s">
        <v>226</v>
      </c>
      <c r="I16" s="5" t="s">
        <v>227</v>
      </c>
      <c r="J16" s="7" t="s">
        <v>14</v>
      </c>
      <c r="K16" s="5" t="s">
        <v>228</v>
      </c>
      <c r="L16" s="5" t="s">
        <v>229</v>
      </c>
      <c r="M16" s="7" t="s">
        <v>13</v>
      </c>
      <c r="N16" s="10">
        <v>9</v>
      </c>
      <c r="O16" s="6">
        <v>3</v>
      </c>
      <c r="P16" s="6">
        <v>8</v>
      </c>
      <c r="Q16" s="8">
        <f>IF(COUNT(N16:P16)=3,N16*O16*P16,"")</f>
        <v>216</v>
      </c>
      <c r="R16" s="9" t="s">
        <v>22</v>
      </c>
      <c r="S16" s="9" t="s">
        <v>376</v>
      </c>
      <c r="T16" s="9" t="s">
        <v>374</v>
      </c>
      <c r="U16" s="9" t="s">
        <v>375</v>
      </c>
    </row>
    <row r="17" spans="1:21" ht="96" customHeight="1" x14ac:dyDescent="0.25">
      <c r="A17" s="7" t="s">
        <v>230</v>
      </c>
      <c r="B17" s="7" t="s">
        <v>150</v>
      </c>
      <c r="C17" s="5" t="s">
        <v>231</v>
      </c>
      <c r="D17" s="5" t="s">
        <v>232</v>
      </c>
      <c r="E17" s="5" t="s">
        <v>233</v>
      </c>
      <c r="F17" s="5" t="s">
        <v>234</v>
      </c>
      <c r="G17" s="5" t="s">
        <v>235</v>
      </c>
      <c r="H17" s="5" t="s">
        <v>236</v>
      </c>
      <c r="I17" s="5" t="s">
        <v>237</v>
      </c>
      <c r="J17" s="7" t="s">
        <v>12</v>
      </c>
      <c r="K17" s="5" t="s">
        <v>238</v>
      </c>
      <c r="L17" s="5" t="s">
        <v>239</v>
      </c>
      <c r="M17" s="7" t="s">
        <v>15</v>
      </c>
      <c r="N17" s="6">
        <v>7</v>
      </c>
      <c r="O17" s="6">
        <v>2</v>
      </c>
      <c r="P17" s="6">
        <v>5</v>
      </c>
      <c r="Q17" s="8">
        <f t="shared" si="0"/>
        <v>70</v>
      </c>
      <c r="R17" s="9" t="s">
        <v>22</v>
      </c>
      <c r="S17" s="9" t="s">
        <v>376</v>
      </c>
      <c r="T17" s="9" t="s">
        <v>374</v>
      </c>
      <c r="U17" s="9" t="s">
        <v>375</v>
      </c>
    </row>
    <row r="18" spans="1:21" ht="96" customHeight="1" x14ac:dyDescent="0.25">
      <c r="A18" s="7" t="s">
        <v>240</v>
      </c>
      <c r="B18" s="7" t="s">
        <v>241</v>
      </c>
      <c r="C18" s="5" t="s">
        <v>242</v>
      </c>
      <c r="D18" s="5" t="s">
        <v>243</v>
      </c>
      <c r="E18" s="5" t="s">
        <v>244</v>
      </c>
      <c r="F18" s="5" t="s">
        <v>245</v>
      </c>
      <c r="G18" s="5" t="s">
        <v>246</v>
      </c>
      <c r="H18" s="5" t="s">
        <v>247</v>
      </c>
      <c r="I18" s="5" t="s">
        <v>248</v>
      </c>
      <c r="J18" s="7" t="s">
        <v>10</v>
      </c>
      <c r="K18" s="5" t="s">
        <v>249</v>
      </c>
      <c r="L18" s="5" t="s">
        <v>250</v>
      </c>
      <c r="M18" s="7" t="s">
        <v>11</v>
      </c>
      <c r="N18" s="6">
        <v>6</v>
      </c>
      <c r="O18" s="6">
        <v>3</v>
      </c>
      <c r="P18" s="6">
        <v>3</v>
      </c>
      <c r="Q18" s="8">
        <f t="shared" si="0"/>
        <v>54</v>
      </c>
      <c r="R18" s="9" t="s">
        <v>23</v>
      </c>
      <c r="S18" s="9" t="s">
        <v>373</v>
      </c>
      <c r="T18" s="9" t="s">
        <v>382</v>
      </c>
      <c r="U18" s="9" t="s">
        <v>383</v>
      </c>
    </row>
    <row r="19" spans="1:21" ht="96" customHeight="1" x14ac:dyDescent="0.25">
      <c r="A19" s="7" t="s">
        <v>251</v>
      </c>
      <c r="B19" s="7" t="s">
        <v>241</v>
      </c>
      <c r="C19" s="5" t="s">
        <v>252</v>
      </c>
      <c r="D19" s="5" t="s">
        <v>253</v>
      </c>
      <c r="E19" s="5" t="s">
        <v>254</v>
      </c>
      <c r="F19" s="5" t="s">
        <v>255</v>
      </c>
      <c r="G19" s="5" t="s">
        <v>256</v>
      </c>
      <c r="H19" s="5" t="s">
        <v>257</v>
      </c>
      <c r="I19" s="5" t="s">
        <v>258</v>
      </c>
      <c r="J19" s="7" t="s">
        <v>12</v>
      </c>
      <c r="K19" s="5" t="s">
        <v>259</v>
      </c>
      <c r="L19" s="5" t="s">
        <v>260</v>
      </c>
      <c r="M19" s="7" t="s">
        <v>9</v>
      </c>
      <c r="N19" s="6">
        <v>2</v>
      </c>
      <c r="O19" s="6">
        <v>2</v>
      </c>
      <c r="P19" s="6">
        <v>3</v>
      </c>
      <c r="Q19" s="8">
        <f t="shared" si="0"/>
        <v>12</v>
      </c>
      <c r="R19" s="9" t="s">
        <v>22</v>
      </c>
      <c r="S19" s="9" t="s">
        <v>373</v>
      </c>
      <c r="T19" s="9" t="s">
        <v>374</v>
      </c>
      <c r="U19" s="9" t="s">
        <v>375</v>
      </c>
    </row>
    <row r="20" spans="1:21" ht="96" customHeight="1" x14ac:dyDescent="0.25">
      <c r="A20" s="7" t="s">
        <v>261</v>
      </c>
      <c r="B20" s="7" t="s">
        <v>241</v>
      </c>
      <c r="C20" s="5" t="s">
        <v>262</v>
      </c>
      <c r="D20" s="5" t="s">
        <v>263</v>
      </c>
      <c r="E20" s="5" t="s">
        <v>264</v>
      </c>
      <c r="F20" s="5" t="s">
        <v>265</v>
      </c>
      <c r="G20" s="5" t="s">
        <v>266</v>
      </c>
      <c r="H20" s="5" t="s">
        <v>267</v>
      </c>
      <c r="I20" s="5" t="s">
        <v>268</v>
      </c>
      <c r="J20" s="7" t="s">
        <v>12</v>
      </c>
      <c r="K20" s="5" t="s">
        <v>269</v>
      </c>
      <c r="L20" s="5" t="s">
        <v>270</v>
      </c>
      <c r="M20" s="7" t="s">
        <v>13</v>
      </c>
      <c r="N20" s="6">
        <v>9</v>
      </c>
      <c r="O20" s="6">
        <v>3</v>
      </c>
      <c r="P20" s="6">
        <v>8</v>
      </c>
      <c r="Q20" s="8">
        <f t="shared" si="0"/>
        <v>216</v>
      </c>
      <c r="R20" s="9" t="s">
        <v>22</v>
      </c>
      <c r="S20" s="9" t="s">
        <v>373</v>
      </c>
      <c r="T20" s="9" t="s">
        <v>374</v>
      </c>
      <c r="U20" s="9" t="s">
        <v>375</v>
      </c>
    </row>
    <row r="21" spans="1:21" ht="96" customHeight="1" x14ac:dyDescent="0.25">
      <c r="A21" s="7" t="s">
        <v>271</v>
      </c>
      <c r="B21" s="7" t="s">
        <v>241</v>
      </c>
      <c r="C21" s="5" t="s">
        <v>272</v>
      </c>
      <c r="D21" s="5" t="s">
        <v>273</v>
      </c>
      <c r="E21" s="5" t="s">
        <v>274</v>
      </c>
      <c r="F21" s="5" t="s">
        <v>275</v>
      </c>
      <c r="G21" s="5" t="s">
        <v>276</v>
      </c>
      <c r="H21" s="5" t="s">
        <v>277</v>
      </c>
      <c r="I21" s="5" t="s">
        <v>278</v>
      </c>
      <c r="J21" s="7" t="s">
        <v>12</v>
      </c>
      <c r="K21" s="5" t="s">
        <v>279</v>
      </c>
      <c r="L21" s="5" t="s">
        <v>280</v>
      </c>
      <c r="M21" s="7" t="s">
        <v>15</v>
      </c>
      <c r="N21" s="6">
        <v>7</v>
      </c>
      <c r="O21" s="6">
        <v>2</v>
      </c>
      <c r="P21" s="6">
        <v>6</v>
      </c>
      <c r="Q21" s="8">
        <f t="shared" si="0"/>
        <v>84</v>
      </c>
      <c r="R21" s="9" t="s">
        <v>22</v>
      </c>
      <c r="S21" s="9" t="s">
        <v>376</v>
      </c>
      <c r="T21" s="9" t="s">
        <v>374</v>
      </c>
      <c r="U21" s="9" t="s">
        <v>375</v>
      </c>
    </row>
    <row r="22" spans="1:21" ht="96" customHeight="1" x14ac:dyDescent="0.25">
      <c r="A22" s="7" t="s">
        <v>281</v>
      </c>
      <c r="B22" s="7" t="s">
        <v>282</v>
      </c>
      <c r="C22" s="5" t="s">
        <v>283</v>
      </c>
      <c r="D22" s="5" t="s">
        <v>284</v>
      </c>
      <c r="E22" s="5" t="s">
        <v>285</v>
      </c>
      <c r="F22" s="5" t="s">
        <v>286</v>
      </c>
      <c r="G22" s="5" t="s">
        <v>287</v>
      </c>
      <c r="H22" s="5" t="s">
        <v>288</v>
      </c>
      <c r="I22" s="5" t="s">
        <v>289</v>
      </c>
      <c r="J22" s="7" t="s">
        <v>10</v>
      </c>
      <c r="K22" s="5" t="s">
        <v>290</v>
      </c>
      <c r="L22" s="5" t="s">
        <v>291</v>
      </c>
      <c r="M22" s="7" t="s">
        <v>9</v>
      </c>
      <c r="N22" s="6">
        <v>3</v>
      </c>
      <c r="O22" s="6">
        <v>1</v>
      </c>
      <c r="P22" s="6">
        <v>2</v>
      </c>
      <c r="Q22" s="8">
        <f t="shared" si="0"/>
        <v>6</v>
      </c>
      <c r="R22" s="9" t="s">
        <v>22</v>
      </c>
      <c r="S22" s="9" t="s">
        <v>373</v>
      </c>
      <c r="T22" s="9" t="s">
        <v>374</v>
      </c>
      <c r="U22" s="9" t="s">
        <v>375</v>
      </c>
    </row>
    <row r="23" spans="1:21" ht="96" customHeight="1" x14ac:dyDescent="0.25">
      <c r="A23" s="7" t="s">
        <v>292</v>
      </c>
      <c r="B23" s="7" t="s">
        <v>282</v>
      </c>
      <c r="C23" s="5" t="s">
        <v>293</v>
      </c>
      <c r="D23" s="5" t="s">
        <v>294</v>
      </c>
      <c r="E23" s="5" t="s">
        <v>295</v>
      </c>
      <c r="F23" s="5" t="s">
        <v>296</v>
      </c>
      <c r="G23" s="5" t="s">
        <v>297</v>
      </c>
      <c r="H23" s="5" t="s">
        <v>298</v>
      </c>
      <c r="I23" s="5" t="s">
        <v>299</v>
      </c>
      <c r="J23" s="7" t="s">
        <v>12</v>
      </c>
      <c r="K23" s="5" t="s">
        <v>300</v>
      </c>
      <c r="L23" s="5" t="s">
        <v>301</v>
      </c>
      <c r="M23" s="7" t="s">
        <v>15</v>
      </c>
      <c r="N23" s="6">
        <v>5</v>
      </c>
      <c r="O23" s="6">
        <v>3</v>
      </c>
      <c r="P23" s="6">
        <v>9</v>
      </c>
      <c r="Q23" s="8">
        <f t="shared" si="0"/>
        <v>135</v>
      </c>
      <c r="R23" s="9" t="s">
        <v>22</v>
      </c>
      <c r="S23" s="9" t="s">
        <v>373</v>
      </c>
      <c r="T23" s="9" t="s">
        <v>384</v>
      </c>
      <c r="U23" s="9" t="s">
        <v>385</v>
      </c>
    </row>
    <row r="24" spans="1:21" ht="96" customHeight="1" x14ac:dyDescent="0.25">
      <c r="A24" s="7" t="s">
        <v>302</v>
      </c>
      <c r="B24" s="7" t="s">
        <v>303</v>
      </c>
      <c r="C24" s="5" t="s">
        <v>304</v>
      </c>
      <c r="D24" s="5" t="s">
        <v>305</v>
      </c>
      <c r="E24" s="5" t="s">
        <v>306</v>
      </c>
      <c r="F24" s="5" t="s">
        <v>307</v>
      </c>
      <c r="G24" s="5" t="s">
        <v>308</v>
      </c>
      <c r="H24" s="5" t="s">
        <v>309</v>
      </c>
      <c r="I24" s="5" t="s">
        <v>310</v>
      </c>
      <c r="J24" s="7" t="s">
        <v>10</v>
      </c>
      <c r="K24" s="5" t="s">
        <v>107</v>
      </c>
      <c r="L24" s="5" t="s">
        <v>311</v>
      </c>
      <c r="M24" s="7" t="s">
        <v>9</v>
      </c>
      <c r="N24" s="6">
        <v>1</v>
      </c>
      <c r="O24" s="6">
        <v>3</v>
      </c>
      <c r="P24" s="6">
        <v>2</v>
      </c>
      <c r="Q24" s="8">
        <f t="shared" si="0"/>
        <v>6</v>
      </c>
      <c r="R24" s="9" t="s">
        <v>22</v>
      </c>
      <c r="S24" s="9" t="s">
        <v>376</v>
      </c>
      <c r="T24" s="9" t="s">
        <v>374</v>
      </c>
      <c r="U24" s="9" t="s">
        <v>375</v>
      </c>
    </row>
    <row r="25" spans="1:21" ht="96" customHeight="1" x14ac:dyDescent="0.25">
      <c r="A25" s="7" t="s">
        <v>312</v>
      </c>
      <c r="B25" s="7" t="s">
        <v>303</v>
      </c>
      <c r="C25" s="5" t="s">
        <v>313</v>
      </c>
      <c r="D25" s="5" t="s">
        <v>314</v>
      </c>
      <c r="E25" s="5" t="s">
        <v>315</v>
      </c>
      <c r="F25" s="5" t="s">
        <v>316</v>
      </c>
      <c r="G25" s="5" t="s">
        <v>317</v>
      </c>
      <c r="H25" s="5" t="s">
        <v>318</v>
      </c>
      <c r="I25" s="5" t="s">
        <v>319</v>
      </c>
      <c r="J25" s="7" t="s">
        <v>10</v>
      </c>
      <c r="K25" s="5" t="s">
        <v>320</v>
      </c>
      <c r="L25" s="5" t="s">
        <v>321</v>
      </c>
      <c r="M25" s="7" t="s">
        <v>9</v>
      </c>
      <c r="N25" s="6">
        <v>2</v>
      </c>
      <c r="O25" s="6">
        <v>2</v>
      </c>
      <c r="P25" s="6">
        <v>2</v>
      </c>
      <c r="Q25" s="8">
        <f t="shared" si="0"/>
        <v>8</v>
      </c>
      <c r="R25" s="9" t="s">
        <v>22</v>
      </c>
      <c r="S25" s="9" t="s">
        <v>373</v>
      </c>
      <c r="T25" s="9" t="s">
        <v>374</v>
      </c>
      <c r="U25" s="9" t="s">
        <v>375</v>
      </c>
    </row>
    <row r="26" spans="1:21" ht="96" customHeight="1" x14ac:dyDescent="0.25">
      <c r="A26" s="7" t="s">
        <v>322</v>
      </c>
      <c r="B26" s="7" t="s">
        <v>303</v>
      </c>
      <c r="C26" s="5" t="s">
        <v>323</v>
      </c>
      <c r="D26" s="5" t="s">
        <v>324</v>
      </c>
      <c r="E26" s="5" t="s">
        <v>325</v>
      </c>
      <c r="F26" s="5" t="s">
        <v>326</v>
      </c>
      <c r="G26" s="5" t="s">
        <v>327</v>
      </c>
      <c r="H26" s="5" t="s">
        <v>328</v>
      </c>
      <c r="I26" s="5" t="s">
        <v>329</v>
      </c>
      <c r="J26" s="7" t="s">
        <v>12</v>
      </c>
      <c r="K26" s="5" t="s">
        <v>330</v>
      </c>
      <c r="L26" s="5" t="s">
        <v>331</v>
      </c>
      <c r="M26" s="7" t="s">
        <v>16</v>
      </c>
      <c r="N26" s="6">
        <v>4</v>
      </c>
      <c r="O26" s="6">
        <v>4</v>
      </c>
      <c r="P26" s="6">
        <v>6</v>
      </c>
      <c r="Q26" s="8">
        <f t="shared" si="0"/>
        <v>96</v>
      </c>
      <c r="R26" s="9" t="s">
        <v>22</v>
      </c>
      <c r="S26" s="9" t="s">
        <v>376</v>
      </c>
      <c r="T26" s="9" t="s">
        <v>374</v>
      </c>
      <c r="U26" s="9" t="s">
        <v>375</v>
      </c>
    </row>
    <row r="27" spans="1:21" ht="96" customHeight="1" x14ac:dyDescent="0.25">
      <c r="A27" s="7" t="s">
        <v>332</v>
      </c>
      <c r="B27" s="7" t="s">
        <v>150</v>
      </c>
      <c r="C27" s="5" t="s">
        <v>333</v>
      </c>
      <c r="D27" s="5" t="s">
        <v>334</v>
      </c>
      <c r="E27" s="5" t="s">
        <v>335</v>
      </c>
      <c r="F27" s="5" t="s">
        <v>336</v>
      </c>
      <c r="G27" s="5" t="s">
        <v>337</v>
      </c>
      <c r="H27" s="5" t="s">
        <v>338</v>
      </c>
      <c r="I27" s="5" t="s">
        <v>339</v>
      </c>
      <c r="J27" s="7" t="s">
        <v>10</v>
      </c>
      <c r="K27" s="5" t="s">
        <v>340</v>
      </c>
      <c r="L27" s="5" t="s">
        <v>341</v>
      </c>
      <c r="M27" s="7" t="s">
        <v>16</v>
      </c>
      <c r="N27" s="6">
        <v>5</v>
      </c>
      <c r="O27" s="6">
        <v>4</v>
      </c>
      <c r="P27" s="6">
        <v>5</v>
      </c>
      <c r="Q27" s="8">
        <f t="shared" si="0"/>
        <v>100</v>
      </c>
      <c r="R27" s="9" t="s">
        <v>22</v>
      </c>
      <c r="S27" s="9" t="s">
        <v>376</v>
      </c>
      <c r="T27" s="9" t="s">
        <v>374</v>
      </c>
      <c r="U27" s="9" t="s">
        <v>375</v>
      </c>
    </row>
    <row r="28" spans="1:21" ht="96" customHeight="1" x14ac:dyDescent="0.25">
      <c r="A28" s="7" t="s">
        <v>342</v>
      </c>
      <c r="B28" s="7" t="s">
        <v>343</v>
      </c>
      <c r="C28" s="5" t="s">
        <v>344</v>
      </c>
      <c r="D28" s="5" t="s">
        <v>345</v>
      </c>
      <c r="E28" s="5" t="s">
        <v>346</v>
      </c>
      <c r="F28" s="5" t="s">
        <v>347</v>
      </c>
      <c r="G28" s="5" t="s">
        <v>348</v>
      </c>
      <c r="H28" s="5" t="s">
        <v>349</v>
      </c>
      <c r="I28" s="5" t="s">
        <v>350</v>
      </c>
      <c r="J28" s="7" t="s">
        <v>10</v>
      </c>
      <c r="K28" s="5" t="s">
        <v>351</v>
      </c>
      <c r="L28" s="5" t="s">
        <v>352</v>
      </c>
      <c r="M28" s="7" t="s">
        <v>9</v>
      </c>
      <c r="N28" s="6">
        <v>2</v>
      </c>
      <c r="O28" s="6">
        <v>3</v>
      </c>
      <c r="P28" s="6">
        <v>1</v>
      </c>
      <c r="Q28" s="8">
        <f t="shared" si="0"/>
        <v>6</v>
      </c>
      <c r="R28" s="9" t="s">
        <v>22</v>
      </c>
      <c r="S28" s="9" t="s">
        <v>373</v>
      </c>
      <c r="T28" s="9" t="s">
        <v>374</v>
      </c>
      <c r="U28" s="9" t="s">
        <v>375</v>
      </c>
    </row>
    <row r="29" spans="1:21" ht="96" customHeight="1" x14ac:dyDescent="0.25">
      <c r="A29" s="7" t="s">
        <v>353</v>
      </c>
      <c r="B29" s="7" t="s">
        <v>150</v>
      </c>
      <c r="C29" s="5" t="s">
        <v>354</v>
      </c>
      <c r="D29" s="5" t="s">
        <v>355</v>
      </c>
      <c r="E29" s="5" t="s">
        <v>356</v>
      </c>
      <c r="F29" s="5" t="s">
        <v>357</v>
      </c>
      <c r="G29" s="5" t="s">
        <v>358</v>
      </c>
      <c r="H29" s="5" t="s">
        <v>359</v>
      </c>
      <c r="I29" s="5" t="s">
        <v>360</v>
      </c>
      <c r="J29" s="7" t="s">
        <v>12</v>
      </c>
      <c r="K29" s="5" t="s">
        <v>361</v>
      </c>
      <c r="L29" s="5" t="s">
        <v>362</v>
      </c>
      <c r="M29" s="7" t="s">
        <v>16</v>
      </c>
      <c r="N29" s="6">
        <v>6</v>
      </c>
      <c r="O29" s="6">
        <v>2</v>
      </c>
      <c r="P29" s="6">
        <v>5</v>
      </c>
      <c r="Q29" s="8">
        <f t="shared" si="0"/>
        <v>60</v>
      </c>
      <c r="R29" s="9" t="s">
        <v>22</v>
      </c>
      <c r="S29" s="9" t="s">
        <v>373</v>
      </c>
      <c r="T29" s="9" t="s">
        <v>374</v>
      </c>
      <c r="U29" s="9" t="s">
        <v>375</v>
      </c>
    </row>
    <row r="30" spans="1:21" ht="96" customHeight="1" x14ac:dyDescent="0.25">
      <c r="A30" s="7" t="s">
        <v>363</v>
      </c>
      <c r="B30" s="7" t="s">
        <v>343</v>
      </c>
      <c r="C30" s="5" t="s">
        <v>364</v>
      </c>
      <c r="D30" s="5" t="s">
        <v>365</v>
      </c>
      <c r="E30" s="5" t="s">
        <v>366</v>
      </c>
      <c r="F30" s="5" t="s">
        <v>367</v>
      </c>
      <c r="G30" s="5" t="s">
        <v>368</v>
      </c>
      <c r="H30" s="5" t="s">
        <v>369</v>
      </c>
      <c r="I30" s="5" t="s">
        <v>370</v>
      </c>
      <c r="J30" s="7" t="s">
        <v>14</v>
      </c>
      <c r="K30" s="5" t="s">
        <v>371</v>
      </c>
      <c r="L30" s="5" t="s">
        <v>372</v>
      </c>
      <c r="M30" s="7" t="s">
        <v>16</v>
      </c>
      <c r="N30" s="6">
        <v>7</v>
      </c>
      <c r="O30" s="6">
        <v>4</v>
      </c>
      <c r="P30" s="6">
        <v>8</v>
      </c>
      <c r="Q30" s="8">
        <f t="shared" si="0"/>
        <v>224</v>
      </c>
      <c r="R30" s="9" t="s">
        <v>22</v>
      </c>
      <c r="S30" s="9" t="s">
        <v>376</v>
      </c>
      <c r="T30" s="9" t="s">
        <v>374</v>
      </c>
      <c r="U30" s="9" t="s">
        <v>375</v>
      </c>
    </row>
  </sheetData>
  <conditionalFormatting sqref="M2:M30">
    <cfRule type="containsText" dxfId="16" priority="5" operator="containsText" text="Safe">
      <formula>NOT(ISERROR(SEARCH("Safe",M2)))</formula>
    </cfRule>
    <cfRule type="containsText" dxfId="15" priority="6" operator="containsText" text="Degraded">
      <formula>NOT(ISERROR(SEARCH("Degraded",M2)))</formula>
    </cfRule>
    <cfRule type="containsText" dxfId="14" priority="7" operator="containsText" text="Dangerous">
      <formula>NOT(ISERROR(SEARCH("Dangerous",M2)))</formula>
    </cfRule>
    <cfRule type="containsText" dxfId="13" priority="8" operator="containsText" text="Dangerous latent">
      <formula>NOT(ISERROR(SEARCH("Dangerous latent",M2)))</formula>
    </cfRule>
    <cfRule type="containsText" dxfId="12" priority="9" operator="containsText" text="Uncertain">
      <formula>NOT(ISERROR(SEARCH("Uncertain",M2)))</formula>
    </cfRule>
  </conditionalFormatting>
  <conditionalFormatting sqref="R2:R30">
    <cfRule type="containsText" dxfId="7" priority="1" operator="containsText" text="Not reviewed">
      <formula>NOT(ISERROR(SEARCH("Not reviewed",R2)))</formula>
    </cfRule>
    <cfRule type="containsText" dxfId="6" priority="2" operator="containsText" text="Accept for comparison">
      <formula>NOT(ISERROR(SEARCH("Accept for comparison",R2)))</formula>
    </cfRule>
    <cfRule type="containsText" dxfId="5" priority="3" operator="containsText" text="Correct">
      <formula>NOT(ISERROR(SEARCH("Correct",R2)))</formula>
    </cfRule>
    <cfRule type="containsText" dxfId="4" priority="4" operator="containsText" text="Reject">
      <formula>NOT(ISERROR(SEARCH("Reject",R2)))</formula>
    </cfRule>
  </conditionalFormatting>
  <dataValidations count="3">
    <dataValidation type="list" allowBlank="1" showInputMessage="1" showErrorMessage="1" errorTitle="Use the review list" error="Choose one of the supplied disposition values." promptTitle="Human disposition" prompt="Select a human-review outcome." sqref="R2:R30" xr:uid="{A7105D8F-216C-4B7F-9C8A-1097CD09BA1F}">
      <formula1>"Not reviewed,Accept for comparison,Correct,Reject"</formula1>
    </dataValidation>
    <dataValidation type="whole" allowBlank="1" showInputMessage="1" showErrorMessage="1" errorTitle="Rating must be 1-10" error="Enter a whole number between 1 and 10, or leave blank." promptTitle="Human rating only" prompt="Enter an integer from 1 to 10 using the approved criteria." sqref="N2:P15 N17:P30 O16:P16" xr:uid="{00000000-0002-0000-0200-000001000000}">
      <formula1>1</formula1>
      <formula2>10</formula2>
    </dataValidation>
    <dataValidation type="list" sqref="S2:S30" xr:uid="{2356793A-59E5-47BA-B2E4-71E067B6BF2B}">
      <formula1>"Reference match,Valid additional,Duplicate"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Rating Criteria</vt:lpstr>
      <vt:lpstr>FMEA 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Aparna Dharmalingam</cp:lastModifiedBy>
  <dcterms:created xsi:type="dcterms:W3CDTF">2026-09-02T20:38:56Z</dcterms:created>
  <dcterms:modified xsi:type="dcterms:W3CDTF">2026-09-02T20:38:56Z</dcterms:modified>
</cp:coreProperties>
</file>